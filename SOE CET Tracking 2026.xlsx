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Overall" sheetId="2" state="visible" r:id="rId2"/>
    <sheet name="LTE1" sheetId="3" state="visible" r:id="rId3"/>
    <sheet name="LTE2" sheetId="4" state="visible" r:id="rId4"/>
    <sheet name="EE" sheetId="5" state="visible" r:id="rId5"/>
    <sheet name="MCE" sheetId="6" state="visible" r:id="rId6"/>
    <sheet name="ME" sheetId="7" state="visible" r:id="rId7"/>
    <sheet name="BE" sheetId="8" state="visible" r:id="rId8"/>
    <sheet name="All Courses" sheetId="9" state="visible" r:id="rId9"/>
    <sheet name="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C55A11"/>
      <sz val="9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2" borderId="1" pivotButton="0" quotePrefix="0" xfId="0"/>
    <xf numFmtId="3" fontId="0" fillId="6" borderId="1" pivotButton="0" quotePrefix="0" xfId="0"/>
    <xf numFmtId="166" fontId="0" fillId="6" borderId="1" pivotButton="0" quotePrefix="0" xfId="0"/>
    <xf numFmtId="0" fontId="4" fillId="5" borderId="1" pivotButton="0" quotePrefix="0" xfId="0"/>
    <xf numFmtId="3" fontId="4" fillId="5" borderId="1" pivotButton="0" quotePrefix="0" xfId="0"/>
    <xf numFmtId="166" fontId="4" fillId="5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applyAlignment="1" pivotButton="0" quotePrefix="0" xfId="0">
      <alignment horizontal="center" vertical="center"/>
    </xf>
    <xf numFmtId="3" fontId="3" fillId="3" borderId="1" pivotButton="0" quotePrefix="0" xfId="0"/>
    <xf numFmtId="0" fontId="0" fillId="3" borderId="0" pivotButton="0" quotePrefix="0" xfId="0"/>
    <xf numFmtId="0" fontId="7" fillId="0" borderId="0" pivotButton="0" quotePrefix="0" xfId="0"/>
    <xf numFmtId="0" fontId="3" fillId="2" borderId="1" pivotButton="0" quotePrefix="0" xfId="0"/>
    <xf numFmtId="165" fontId="3" fillId="2" borderId="1" pivotButton="0" quotePrefix="0" xfId="0"/>
    <xf numFmtId="3" fontId="3" fillId="2" borderId="1" applyAlignment="1" pivotButton="0" quotePrefix="0" xfId="0">
      <alignment horizontal="center" vertical="center"/>
    </xf>
    <xf numFmtId="3" fontId="3" fillId="2" borderId="1" pivotButton="0" quotePrefix="0" xfId="0"/>
    <xf numFmtId="3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6" customWidth="1" min="3" max="3"/>
    <col width="26" customWidth="1" min="4" max="4"/>
  </cols>
  <sheetData>
    <row r="2">
      <c r="B2" s="1" t="inlineStr">
        <is>
          <t>SOE CET Tracking 2026 — BLANK TEMPLATE</t>
        </is>
      </c>
    </row>
    <row r="3">
      <c r="B3" t="inlineStr"/>
    </row>
    <row r="4">
      <c r="B4" s="2" t="inlineStr">
        <is>
          <t>HOW THIS WORKBOOK IS ORGANISED</t>
        </is>
      </c>
    </row>
    <row r="5">
      <c r="B5" s="3" t="inlineStr">
        <is>
          <t>• One tab per DEPARTMENT (LTE1, LTE2, EE, MCE, ME, BE). Each department rep owns and</t>
        </is>
      </c>
    </row>
    <row r="6">
      <c r="B6" s="3" t="inlineStr">
        <is>
          <t xml:space="preserve">  maintains their own tab.</t>
        </is>
      </c>
    </row>
    <row r="7">
      <c r="B7" s="3" t="inlineStr">
        <is>
          <t>• 'Overall' is the monitoring tab — it auto-sums every department's participants and training</t>
        </is>
      </c>
    </row>
    <row r="8">
      <c r="B8" s="3" t="inlineStr">
        <is>
          <t xml:space="preserve">  hours in one place. You only read it; do not type into its grey Actual/% columns.</t>
        </is>
      </c>
    </row>
    <row r="9">
      <c r="B9" s="3" t="inlineStr">
        <is>
          <t>• 'All Courses' is a register of every course, with live counts by department and by type.</t>
        </is>
      </c>
    </row>
    <row r="10">
      <c r="B10" s="3" t="inlineStr">
        <is>
          <t>• 'Lists' powers the dropdowns — edit it only to add a new course type or department.</t>
        </is>
      </c>
    </row>
    <row r="11">
      <c r="B11" t="inlineStr"/>
    </row>
    <row r="12">
      <c r="B12" s="2" t="inlineStr">
        <is>
          <t>HOW A DEPARTMENT REP FILLS IN THEIR TAB</t>
        </is>
      </c>
    </row>
    <row r="13">
      <c r="B13" s="3" t="inlineStr">
        <is>
          <t>1. Each row = one course / training activity your department ran or plans to run.</t>
        </is>
      </c>
    </row>
    <row r="14">
      <c r="B14" s="3" t="inlineStr">
        <is>
          <t>2. Pick the Course Type from the dropdown (column B). Fill the yellow cells.</t>
        </is>
      </c>
    </row>
    <row r="15">
      <c r="B15" s="3" t="inlineStr">
        <is>
          <t>3. One shaded ORANGE example row is provided — overwrite or delete it.</t>
        </is>
      </c>
    </row>
    <row r="16">
      <c r="B16" s="3" t="inlineStr">
        <is>
          <t>4. Participants = headcount. Hours = course duration. Total Hours = CET training hours counted.</t>
        </is>
      </c>
    </row>
    <row r="17">
      <c r="B17" s="3" t="inlineStr">
        <is>
          <t>5. Blank / 0 participants = planned but not yet run (kept, counts as 0).</t>
        </is>
      </c>
    </row>
    <row r="18">
      <c r="B18" s="3" t="inlineStr">
        <is>
          <t>6. Add rows ABOVE the 'Total' row so the total keeps summing them.</t>
        </is>
      </c>
    </row>
    <row r="19">
      <c r="B19" t="inlineStr"/>
    </row>
    <row r="20">
      <c r="B20" s="2" t="inlineStr">
        <is>
          <t>THE ALL COURSES REGISTER</t>
        </is>
      </c>
    </row>
    <row r="21">
      <c r="B21" s="3" t="inlineStr">
        <is>
          <t>• List each course once: Course Name, Course Type, and the Department running it.</t>
        </is>
      </c>
    </row>
    <row r="22">
      <c r="B22" s="3" t="inlineStr">
        <is>
          <t>• The two green summary blocks count how many courses each department runs, and how</t>
        </is>
      </c>
    </row>
    <row r="23">
      <c r="B23" s="3" t="inlineStr">
        <is>
          <t xml:space="preserve">  many of each course type exist — automatically.</t>
        </is>
      </c>
    </row>
    <row r="24">
      <c r="B24" t="inlineStr"/>
    </row>
    <row r="25">
      <c r="B25" s="2" t="inlineStr">
        <is>
          <t>DEPARTMENTS</t>
        </is>
      </c>
    </row>
    <row r="26">
      <c r="B26" s="4" t="inlineStr">
        <is>
          <t>• LTE1</t>
        </is>
      </c>
      <c r="C26" s="3" t="inlineStr">
        <is>
          <t>AE Higher Nitec</t>
        </is>
      </c>
    </row>
    <row r="27">
      <c r="B27" s="4" t="inlineStr">
        <is>
          <t>• LTE2</t>
        </is>
      </c>
      <c r="C27" s="3" t="inlineStr">
        <is>
          <t>AE TED &amp; RTE</t>
        </is>
      </c>
    </row>
    <row r="28">
      <c r="B28" s="4" t="inlineStr">
        <is>
          <t>• EE</t>
        </is>
      </c>
      <c r="C28" s="3" t="inlineStr">
        <is>
          <t>Electrical Engr</t>
        </is>
      </c>
    </row>
    <row r="29">
      <c r="B29" s="4" t="inlineStr">
        <is>
          <t>• MCE</t>
        </is>
      </c>
      <c r="C29" s="3" t="inlineStr">
        <is>
          <t>Mechatronic Engr</t>
        </is>
      </c>
    </row>
    <row r="30">
      <c r="B30" s="4" t="inlineStr">
        <is>
          <t>• ME</t>
        </is>
      </c>
      <c r="C30" s="3" t="inlineStr">
        <is>
          <t>Mechanical Engr</t>
        </is>
      </c>
    </row>
    <row r="31">
      <c r="B31" s="4" t="inlineStr">
        <is>
          <t>• BE</t>
        </is>
      </c>
      <c r="C31" s="3" t="inlineStr">
        <is>
          <t>Built Environment</t>
        </is>
      </c>
    </row>
    <row r="33">
      <c r="B33" s="4" t="inlineStr">
        <is>
          <t>Legend:</t>
        </is>
      </c>
      <c r="C33" s="5" t="inlineStr">
        <is>
          <t xml:space="preserve">  yellow = you fill in</t>
        </is>
      </c>
      <c r="D33" s="6" t="inlineStr">
        <is>
          <t xml:space="preserve">  orange = example (delete)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B1" s="1" t="inlineStr">
        <is>
          <t>Overall — SOE CET Monitor (FY2026)</t>
        </is>
      </c>
    </row>
    <row r="2">
      <c r="B2" s="7" t="inlineStr">
        <is>
          <t>Fill the yellow Target columns. Participants and Training Hours auto-sum from each department tab. Grey columns are read-only.</t>
        </is>
      </c>
    </row>
    <row r="3">
      <c r="B3" s="8" t="n"/>
      <c r="C3" s="9" t="inlineStr">
        <is>
          <t>Participants</t>
        </is>
      </c>
      <c r="D3" s="8" t="n"/>
      <c r="E3" s="8" t="n"/>
      <c r="F3" s="9" t="inlineStr">
        <is>
          <t>Training Hours</t>
        </is>
      </c>
      <c r="G3" s="8" t="n"/>
      <c r="H3" s="8" t="n"/>
    </row>
    <row r="4">
      <c r="B4" s="10" t="inlineStr">
        <is>
          <t>Department</t>
        </is>
      </c>
      <c r="C4" s="10" t="inlineStr">
        <is>
          <t>Target</t>
        </is>
      </c>
      <c r="D4" s="10" t="inlineStr">
        <is>
          <t>Actual</t>
        </is>
      </c>
      <c r="E4" s="10" t="inlineStr">
        <is>
          <t>%</t>
        </is>
      </c>
      <c r="F4" s="10" t="inlineStr">
        <is>
          <t>Target</t>
        </is>
      </c>
      <c r="G4" s="10" t="inlineStr">
        <is>
          <t>Actual</t>
        </is>
      </c>
      <c r="H4" s="10" t="inlineStr">
        <is>
          <t>%</t>
        </is>
      </c>
    </row>
    <row r="5">
      <c r="B5" s="11" t="inlineStr">
        <is>
          <t>LTE1</t>
        </is>
      </c>
      <c r="C5" s="12" t="n"/>
      <c r="D5" s="13">
        <f>SUM('LTE1'!E5:E54)</f>
        <v>20</v>
      </c>
      <c r="E5" s="14">
        <f>IF(C5=0,0,D5/C5)</f>
        <v>0</v>
      </c>
      <c r="F5" s="12" t="n"/>
      <c r="G5" s="13">
        <f>SUM('LTE1'!H5:H54)</f>
        <v>60</v>
      </c>
      <c r="H5" s="14">
        <f>IF(F5=0,0,G5/F5)</f>
        <v>0</v>
      </c>
    </row>
    <row r="6">
      <c r="B6" s="11" t="inlineStr">
        <is>
          <t>LTE2</t>
        </is>
      </c>
      <c r="C6" s="12" t="n"/>
      <c r="D6" s="13">
        <f>SUM('LTE2'!E5:E54)</f>
        <v>18</v>
      </c>
      <c r="E6" s="14">
        <f>IF(C6=0,0,D6/C6)</f>
        <v>0</v>
      </c>
      <c r="F6" s="12" t="n"/>
      <c r="G6" s="13">
        <f>SUM('LTE2'!H5:H54)</f>
        <v>40</v>
      </c>
      <c r="H6" s="14">
        <f>IF(F6=0,0,G6/F6)</f>
        <v>0</v>
      </c>
    </row>
    <row r="7">
      <c r="B7" s="11" t="inlineStr">
        <is>
          <t>EE</t>
        </is>
      </c>
      <c r="C7" s="12" t="n"/>
      <c r="D7" s="13">
        <f>SUM('EE'!E5:E54)</f>
        <v>15</v>
      </c>
      <c r="E7" s="14">
        <f>IF(C7=0,0,D7/C7)</f>
        <v>0</v>
      </c>
      <c r="F7" s="12" t="n"/>
      <c r="G7" s="13">
        <f>SUM('EE'!H5:H54)</f>
        <v>24</v>
      </c>
      <c r="H7" s="14">
        <f>IF(F7=0,0,G7/F7)</f>
        <v>0</v>
      </c>
    </row>
    <row r="8">
      <c r="B8" s="11" t="inlineStr">
        <is>
          <t>MCE</t>
        </is>
      </c>
      <c r="C8" s="12" t="n"/>
      <c r="D8" s="13">
        <f>SUM('MCE'!E5:E54)</f>
        <v>22</v>
      </c>
      <c r="E8" s="14">
        <f>IF(C8=0,0,D8/C8)</f>
        <v>0</v>
      </c>
      <c r="F8" s="12" t="n"/>
      <c r="G8" s="13">
        <f>SUM('MCE'!H5:H54)</f>
        <v>32</v>
      </c>
      <c r="H8" s="14">
        <f>IF(F8=0,0,G8/F8)</f>
        <v>0</v>
      </c>
    </row>
    <row r="9">
      <c r="B9" s="11" t="inlineStr">
        <is>
          <t>ME</t>
        </is>
      </c>
      <c r="C9" s="12" t="n"/>
      <c r="D9" s="13">
        <f>SUM('ME'!E5:E54)</f>
        <v>25</v>
      </c>
      <c r="E9" s="14">
        <f>IF(C9=0,0,D9/C9)</f>
        <v>0</v>
      </c>
      <c r="F9" s="12" t="n"/>
      <c r="G9" s="13">
        <f>SUM('ME'!H5:H54)</f>
        <v>16</v>
      </c>
      <c r="H9" s="14">
        <f>IF(F9=0,0,G9/F9)</f>
        <v>0</v>
      </c>
    </row>
    <row r="10">
      <c r="B10" s="11" t="inlineStr">
        <is>
          <t>BE</t>
        </is>
      </c>
      <c r="C10" s="12" t="n"/>
      <c r="D10" s="13">
        <f>SUM('BE'!E5:E54)</f>
        <v>12</v>
      </c>
      <c r="E10" s="14">
        <f>IF(C10=0,0,D10/C10)</f>
        <v>0</v>
      </c>
      <c r="F10" s="12" t="n"/>
      <c r="G10" s="13">
        <f>SUM('BE'!H5:H54)</f>
        <v>16</v>
      </c>
      <c r="H10" s="14">
        <f>IF(F10=0,0,G10/F10)</f>
        <v>0</v>
      </c>
    </row>
    <row r="11">
      <c r="B11" s="15" t="inlineStr">
        <is>
          <t>Total</t>
        </is>
      </c>
      <c r="C11" s="16">
        <f>SUM(C5:C10)</f>
        <v>0</v>
      </c>
      <c r="D11" s="16">
        <f>SUM(D5:D10)</f>
        <v>112</v>
      </c>
      <c r="E11" s="17">
        <f>IF(C11=0,0,D11/C11)</f>
        <v>0</v>
      </c>
      <c r="F11" s="16">
        <f>SUM(F5:F10)</f>
        <v>0</v>
      </c>
      <c r="G11" s="16">
        <f>SUM(G5:G10)</f>
        <v>188</v>
      </c>
      <c r="H11" s="17">
        <f>IF(F11=0,0,G11/F11)</f>
        <v>0</v>
      </c>
    </row>
  </sheetData>
  <mergeCells count="2">
    <mergeCell ref="F3:H3"/>
    <mergeCell ref="C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LTE1 — AE Higher Nitec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Higher Nitec</t>
        </is>
      </c>
      <c r="C5" s="18" t="inlineStr">
        <is>
          <t>Example — replace or delete</t>
        </is>
      </c>
      <c r="D5" s="19" t="n">
        <v>46167</v>
      </c>
      <c r="E5" s="20" t="n">
        <v>20</v>
      </c>
      <c r="F5" s="18" t="inlineStr">
        <is>
          <t>Trainer name</t>
        </is>
      </c>
      <c r="G5" s="21" t="n">
        <v>60</v>
      </c>
      <c r="H5" s="21" t="n">
        <v>60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20</v>
      </c>
      <c r="F55" s="15" t="n"/>
      <c r="G55" s="15" t="n"/>
      <c r="H55" s="16">
        <f>SUM(H5:H54)</f>
        <v>60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LTE2 — AE TED &amp; RTE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WSDip</t>
        </is>
      </c>
      <c r="C5" s="18" t="inlineStr">
        <is>
          <t>Example — replace or delete</t>
        </is>
      </c>
      <c r="D5" s="19" t="n">
        <v>46154</v>
      </c>
      <c r="E5" s="20" t="n">
        <v>18</v>
      </c>
      <c r="F5" s="18" t="inlineStr">
        <is>
          <t>Trainer name</t>
        </is>
      </c>
      <c r="G5" s="21" t="n">
        <v>40</v>
      </c>
      <c r="H5" s="21" t="n">
        <v>40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18</v>
      </c>
      <c r="F55" s="15" t="n"/>
      <c r="G55" s="15" t="n"/>
      <c r="H55" s="16">
        <f>SUM(H5:H54)</f>
        <v>40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EE — Electrical Engr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SCTP</t>
        </is>
      </c>
      <c r="C5" s="18" t="inlineStr">
        <is>
          <t>Example — replace or delete</t>
        </is>
      </c>
      <c r="D5" s="19" t="n">
        <v>46183</v>
      </c>
      <c r="E5" s="20" t="n">
        <v>15</v>
      </c>
      <c r="F5" s="18" t="inlineStr">
        <is>
          <t>Trainer name</t>
        </is>
      </c>
      <c r="G5" s="21" t="n">
        <v>24</v>
      </c>
      <c r="H5" s="21" t="n">
        <v>24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15</v>
      </c>
      <c r="F55" s="15" t="n"/>
      <c r="G55" s="15" t="n"/>
      <c r="H55" s="16">
        <f>SUM(H5:H54)</f>
        <v>24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MCE — Mechatronic Engr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ISC</t>
        </is>
      </c>
      <c r="C5" s="18" t="inlineStr">
        <is>
          <t>Example — replace or delete</t>
        </is>
      </c>
      <c r="D5" s="19" t="n">
        <v>46204</v>
      </c>
      <c r="E5" s="20" t="n">
        <v>22</v>
      </c>
      <c r="F5" s="18" t="inlineStr">
        <is>
          <t>Trainer name</t>
        </is>
      </c>
      <c r="G5" s="21" t="n">
        <v>32</v>
      </c>
      <c r="H5" s="21" t="n">
        <v>32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22</v>
      </c>
      <c r="F55" s="15" t="n"/>
      <c r="G55" s="15" t="n"/>
      <c r="H55" s="16">
        <f>SUM(H5:H54)</f>
        <v>32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ME — Mechanical Engr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Short Courses</t>
        </is>
      </c>
      <c r="C5" s="18" t="inlineStr">
        <is>
          <t>Example — replace or delete</t>
        </is>
      </c>
      <c r="D5" s="19" t="n">
        <v>46147</v>
      </c>
      <c r="E5" s="20" t="n">
        <v>25</v>
      </c>
      <c r="F5" s="18" t="inlineStr">
        <is>
          <t>Trainer name</t>
        </is>
      </c>
      <c r="G5" s="21" t="n">
        <v>16</v>
      </c>
      <c r="H5" s="21" t="n">
        <v>16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25</v>
      </c>
      <c r="F55" s="15" t="n"/>
      <c r="G55" s="15" t="n"/>
      <c r="H55" s="16">
        <f>SUM(H5:H54)</f>
        <v>16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5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4" customWidth="1" min="3" max="3"/>
    <col width="13" customWidth="1" min="4" max="4"/>
    <col width="12" customWidth="1" min="5" max="5"/>
    <col width="18" customWidth="1" min="6" max="6"/>
    <col width="9" customWidth="1" min="7" max="7"/>
    <col width="12" customWidth="1" min="8" max="8"/>
    <col width="30" customWidth="1" min="9" max="9"/>
  </cols>
  <sheetData>
    <row r="1">
      <c r="B1" s="1" t="inlineStr">
        <is>
          <t>BE — Built Environment</t>
        </is>
      </c>
    </row>
    <row r="2">
      <c r="B2" s="7" t="inlineStr">
        <is>
          <t>Department rep: ______________________     One row = one course/activity. Pick Course Type from the dropdown. Fill yellow cells.</t>
        </is>
      </c>
    </row>
    <row r="4">
      <c r="B4" s="10" t="inlineStr">
        <is>
          <t>Course Type</t>
        </is>
      </c>
      <c r="C4" s="10" t="inlineStr">
        <is>
          <t>Course Name</t>
        </is>
      </c>
      <c r="D4" s="10" t="inlineStr">
        <is>
          <t>Date</t>
        </is>
      </c>
      <c r="E4" s="10" t="inlineStr">
        <is>
          <t>Participants</t>
        </is>
      </c>
      <c r="F4" s="10" t="inlineStr">
        <is>
          <t>Trainer</t>
        </is>
      </c>
      <c r="G4" s="10" t="inlineStr">
        <is>
          <t>Hours</t>
        </is>
      </c>
      <c r="H4" s="10" t="inlineStr">
        <is>
          <t>Total Hours</t>
        </is>
      </c>
      <c r="I4" s="10" t="inlineStr">
        <is>
          <t>Notes</t>
        </is>
      </c>
    </row>
    <row r="5">
      <c r="B5" s="18" t="inlineStr">
        <is>
          <t>CoC (ITE)</t>
        </is>
      </c>
      <c r="C5" s="18" t="inlineStr">
        <is>
          <t>Example — replace or delete</t>
        </is>
      </c>
      <c r="D5" s="19" t="n">
        <v>46223</v>
      </c>
      <c r="E5" s="20" t="n">
        <v>12</v>
      </c>
      <c r="F5" s="18" t="inlineStr">
        <is>
          <t>Trainer name</t>
        </is>
      </c>
      <c r="G5" s="21" t="n">
        <v>16</v>
      </c>
      <c r="H5" s="21" t="n">
        <v>16</v>
      </c>
      <c r="I5" s="22" t="inlineStr"/>
      <c r="J5" s="23" t="inlineStr">
        <is>
          <t>◄ EXAMPLE — replace with your data or delete this row</t>
        </is>
      </c>
    </row>
    <row r="6">
      <c r="B6" s="24" t="n"/>
      <c r="C6" s="24" t="n"/>
      <c r="D6" s="25" t="n"/>
      <c r="E6" s="26" t="n"/>
      <c r="F6" s="24" t="n"/>
      <c r="G6" s="27" t="n"/>
      <c r="H6" s="27" t="n"/>
      <c r="I6" s="24" t="n"/>
    </row>
    <row r="7">
      <c r="B7" s="24" t="n"/>
      <c r="C7" s="24" t="n"/>
      <c r="D7" s="25" t="n"/>
      <c r="E7" s="26" t="n"/>
      <c r="F7" s="24" t="n"/>
      <c r="G7" s="27" t="n"/>
      <c r="H7" s="27" t="n"/>
      <c r="I7" s="24" t="n"/>
    </row>
    <row r="8">
      <c r="B8" s="24" t="n"/>
      <c r="C8" s="24" t="n"/>
      <c r="D8" s="25" t="n"/>
      <c r="E8" s="26" t="n"/>
      <c r="F8" s="24" t="n"/>
      <c r="G8" s="27" t="n"/>
      <c r="H8" s="27" t="n"/>
      <c r="I8" s="24" t="n"/>
    </row>
    <row r="9">
      <c r="B9" s="24" t="n"/>
      <c r="C9" s="24" t="n"/>
      <c r="D9" s="25" t="n"/>
      <c r="E9" s="26" t="n"/>
      <c r="F9" s="24" t="n"/>
      <c r="G9" s="27" t="n"/>
      <c r="H9" s="27" t="n"/>
      <c r="I9" s="24" t="n"/>
    </row>
    <row r="10">
      <c r="B10" s="24" t="n"/>
      <c r="C10" s="24" t="n"/>
      <c r="D10" s="25" t="n"/>
      <c r="E10" s="26" t="n"/>
      <c r="F10" s="24" t="n"/>
      <c r="G10" s="27" t="n"/>
      <c r="H10" s="27" t="n"/>
      <c r="I10" s="24" t="n"/>
    </row>
    <row r="11">
      <c r="B11" s="24" t="n"/>
      <c r="C11" s="24" t="n"/>
      <c r="D11" s="25" t="n"/>
      <c r="E11" s="26" t="n"/>
      <c r="F11" s="24" t="n"/>
      <c r="G11" s="27" t="n"/>
      <c r="H11" s="27" t="n"/>
      <c r="I11" s="24" t="n"/>
    </row>
    <row r="12">
      <c r="B12" s="24" t="n"/>
      <c r="C12" s="24" t="n"/>
      <c r="D12" s="25" t="n"/>
      <c r="E12" s="26" t="n"/>
      <c r="F12" s="24" t="n"/>
      <c r="G12" s="27" t="n"/>
      <c r="H12" s="27" t="n"/>
      <c r="I12" s="24" t="n"/>
    </row>
    <row r="13">
      <c r="B13" s="24" t="n"/>
      <c r="C13" s="24" t="n"/>
      <c r="D13" s="25" t="n"/>
      <c r="E13" s="26" t="n"/>
      <c r="F13" s="24" t="n"/>
      <c r="G13" s="27" t="n"/>
      <c r="H13" s="27" t="n"/>
      <c r="I13" s="24" t="n"/>
    </row>
    <row r="14">
      <c r="B14" s="24" t="n"/>
      <c r="C14" s="24" t="n"/>
      <c r="D14" s="25" t="n"/>
      <c r="E14" s="26" t="n"/>
      <c r="F14" s="24" t="n"/>
      <c r="G14" s="27" t="n"/>
      <c r="H14" s="27" t="n"/>
      <c r="I14" s="24" t="n"/>
    </row>
    <row r="15">
      <c r="B15" s="24" t="n"/>
      <c r="C15" s="24" t="n"/>
      <c r="D15" s="25" t="n"/>
      <c r="E15" s="26" t="n"/>
      <c r="F15" s="24" t="n"/>
      <c r="G15" s="27" t="n"/>
      <c r="H15" s="27" t="n"/>
      <c r="I15" s="24" t="n"/>
    </row>
    <row r="16">
      <c r="B16" s="24" t="n"/>
      <c r="C16" s="24" t="n"/>
      <c r="D16" s="25" t="n"/>
      <c r="E16" s="26" t="n"/>
      <c r="F16" s="24" t="n"/>
      <c r="G16" s="27" t="n"/>
      <c r="H16" s="27" t="n"/>
      <c r="I16" s="24" t="n"/>
    </row>
    <row r="17">
      <c r="B17" s="24" t="n"/>
      <c r="C17" s="24" t="n"/>
      <c r="D17" s="25" t="n"/>
      <c r="E17" s="26" t="n"/>
      <c r="F17" s="24" t="n"/>
      <c r="G17" s="27" t="n"/>
      <c r="H17" s="27" t="n"/>
      <c r="I17" s="24" t="n"/>
    </row>
    <row r="18">
      <c r="B18" s="24" t="n"/>
      <c r="C18" s="24" t="n"/>
      <c r="D18" s="25" t="n"/>
      <c r="E18" s="26" t="n"/>
      <c r="F18" s="24" t="n"/>
      <c r="G18" s="27" t="n"/>
      <c r="H18" s="27" t="n"/>
      <c r="I18" s="24" t="n"/>
    </row>
    <row r="19">
      <c r="B19" s="24" t="n"/>
      <c r="C19" s="24" t="n"/>
      <c r="D19" s="25" t="n"/>
      <c r="E19" s="26" t="n"/>
      <c r="F19" s="24" t="n"/>
      <c r="G19" s="27" t="n"/>
      <c r="H19" s="27" t="n"/>
      <c r="I19" s="24" t="n"/>
    </row>
    <row r="20">
      <c r="B20" s="24" t="n"/>
      <c r="C20" s="24" t="n"/>
      <c r="D20" s="25" t="n"/>
      <c r="E20" s="26" t="n"/>
      <c r="F20" s="24" t="n"/>
      <c r="G20" s="27" t="n"/>
      <c r="H20" s="27" t="n"/>
      <c r="I20" s="24" t="n"/>
    </row>
    <row r="21">
      <c r="B21" s="24" t="n"/>
      <c r="C21" s="24" t="n"/>
      <c r="D21" s="25" t="n"/>
      <c r="E21" s="26" t="n"/>
      <c r="F21" s="24" t="n"/>
      <c r="G21" s="27" t="n"/>
      <c r="H21" s="27" t="n"/>
      <c r="I21" s="24" t="n"/>
    </row>
    <row r="22">
      <c r="B22" s="24" t="n"/>
      <c r="C22" s="24" t="n"/>
      <c r="D22" s="25" t="n"/>
      <c r="E22" s="26" t="n"/>
      <c r="F22" s="24" t="n"/>
      <c r="G22" s="27" t="n"/>
      <c r="H22" s="27" t="n"/>
      <c r="I22" s="24" t="n"/>
    </row>
    <row r="23">
      <c r="B23" s="24" t="n"/>
      <c r="C23" s="24" t="n"/>
      <c r="D23" s="25" t="n"/>
      <c r="E23" s="26" t="n"/>
      <c r="F23" s="24" t="n"/>
      <c r="G23" s="27" t="n"/>
      <c r="H23" s="27" t="n"/>
      <c r="I23" s="24" t="n"/>
    </row>
    <row r="24">
      <c r="B24" s="24" t="n"/>
      <c r="C24" s="24" t="n"/>
      <c r="D24" s="25" t="n"/>
      <c r="E24" s="26" t="n"/>
      <c r="F24" s="24" t="n"/>
      <c r="G24" s="27" t="n"/>
      <c r="H24" s="27" t="n"/>
      <c r="I24" s="24" t="n"/>
    </row>
    <row r="25">
      <c r="B25" s="24" t="n"/>
      <c r="C25" s="24" t="n"/>
      <c r="D25" s="25" t="n"/>
      <c r="E25" s="26" t="n"/>
      <c r="F25" s="24" t="n"/>
      <c r="G25" s="27" t="n"/>
      <c r="H25" s="27" t="n"/>
      <c r="I25" s="24" t="n"/>
    </row>
    <row r="26">
      <c r="B26" s="24" t="n"/>
      <c r="C26" s="24" t="n"/>
      <c r="D26" s="25" t="n"/>
      <c r="E26" s="26" t="n"/>
      <c r="F26" s="24" t="n"/>
      <c r="G26" s="27" t="n"/>
      <c r="H26" s="27" t="n"/>
      <c r="I26" s="24" t="n"/>
    </row>
    <row r="27">
      <c r="B27" s="24" t="n"/>
      <c r="C27" s="24" t="n"/>
      <c r="D27" s="25" t="n"/>
      <c r="E27" s="26" t="n"/>
      <c r="F27" s="24" t="n"/>
      <c r="G27" s="27" t="n"/>
      <c r="H27" s="27" t="n"/>
      <c r="I27" s="24" t="n"/>
    </row>
    <row r="28">
      <c r="B28" s="24" t="n"/>
      <c r="C28" s="24" t="n"/>
      <c r="D28" s="25" t="n"/>
      <c r="E28" s="26" t="n"/>
      <c r="F28" s="24" t="n"/>
      <c r="G28" s="27" t="n"/>
      <c r="H28" s="27" t="n"/>
      <c r="I28" s="24" t="n"/>
    </row>
    <row r="29">
      <c r="B29" s="24" t="n"/>
      <c r="C29" s="24" t="n"/>
      <c r="D29" s="25" t="n"/>
      <c r="E29" s="26" t="n"/>
      <c r="F29" s="24" t="n"/>
      <c r="G29" s="27" t="n"/>
      <c r="H29" s="27" t="n"/>
      <c r="I29" s="24" t="n"/>
    </row>
    <row r="30">
      <c r="B30" s="24" t="n"/>
      <c r="C30" s="24" t="n"/>
      <c r="D30" s="25" t="n"/>
      <c r="E30" s="26" t="n"/>
      <c r="F30" s="24" t="n"/>
      <c r="G30" s="27" t="n"/>
      <c r="H30" s="27" t="n"/>
      <c r="I30" s="24" t="n"/>
    </row>
    <row r="31">
      <c r="B31" s="24" t="n"/>
      <c r="C31" s="24" t="n"/>
      <c r="D31" s="25" t="n"/>
      <c r="E31" s="26" t="n"/>
      <c r="F31" s="24" t="n"/>
      <c r="G31" s="27" t="n"/>
      <c r="H31" s="27" t="n"/>
      <c r="I31" s="24" t="n"/>
    </row>
    <row r="32">
      <c r="B32" s="24" t="n"/>
      <c r="C32" s="24" t="n"/>
      <c r="D32" s="25" t="n"/>
      <c r="E32" s="26" t="n"/>
      <c r="F32" s="24" t="n"/>
      <c r="G32" s="27" t="n"/>
      <c r="H32" s="27" t="n"/>
      <c r="I32" s="24" t="n"/>
    </row>
    <row r="33">
      <c r="B33" s="24" t="n"/>
      <c r="C33" s="24" t="n"/>
      <c r="D33" s="25" t="n"/>
      <c r="E33" s="26" t="n"/>
      <c r="F33" s="24" t="n"/>
      <c r="G33" s="27" t="n"/>
      <c r="H33" s="27" t="n"/>
      <c r="I33" s="24" t="n"/>
    </row>
    <row r="34">
      <c r="B34" s="24" t="n"/>
      <c r="C34" s="24" t="n"/>
      <c r="D34" s="25" t="n"/>
      <c r="E34" s="26" t="n"/>
      <c r="F34" s="24" t="n"/>
      <c r="G34" s="27" t="n"/>
      <c r="H34" s="27" t="n"/>
      <c r="I34" s="24" t="n"/>
    </row>
    <row r="35">
      <c r="B35" s="24" t="n"/>
      <c r="C35" s="24" t="n"/>
      <c r="D35" s="25" t="n"/>
      <c r="E35" s="26" t="n"/>
      <c r="F35" s="24" t="n"/>
      <c r="G35" s="27" t="n"/>
      <c r="H35" s="27" t="n"/>
      <c r="I35" s="24" t="n"/>
    </row>
    <row r="36">
      <c r="B36" s="24" t="n"/>
      <c r="C36" s="24" t="n"/>
      <c r="D36" s="25" t="n"/>
      <c r="E36" s="26" t="n"/>
      <c r="F36" s="24" t="n"/>
      <c r="G36" s="27" t="n"/>
      <c r="H36" s="27" t="n"/>
      <c r="I36" s="24" t="n"/>
    </row>
    <row r="37">
      <c r="B37" s="24" t="n"/>
      <c r="C37" s="24" t="n"/>
      <c r="D37" s="25" t="n"/>
      <c r="E37" s="26" t="n"/>
      <c r="F37" s="24" t="n"/>
      <c r="G37" s="27" t="n"/>
      <c r="H37" s="27" t="n"/>
      <c r="I37" s="24" t="n"/>
    </row>
    <row r="38">
      <c r="B38" s="24" t="n"/>
      <c r="C38" s="24" t="n"/>
      <c r="D38" s="25" t="n"/>
      <c r="E38" s="26" t="n"/>
      <c r="F38" s="24" t="n"/>
      <c r="G38" s="27" t="n"/>
      <c r="H38" s="27" t="n"/>
      <c r="I38" s="24" t="n"/>
    </row>
    <row r="39">
      <c r="B39" s="24" t="n"/>
      <c r="C39" s="24" t="n"/>
      <c r="D39" s="25" t="n"/>
      <c r="E39" s="26" t="n"/>
      <c r="F39" s="24" t="n"/>
      <c r="G39" s="27" t="n"/>
      <c r="H39" s="27" t="n"/>
      <c r="I39" s="24" t="n"/>
    </row>
    <row r="40">
      <c r="B40" s="24" t="n"/>
      <c r="C40" s="24" t="n"/>
      <c r="D40" s="25" t="n"/>
      <c r="E40" s="26" t="n"/>
      <c r="F40" s="24" t="n"/>
      <c r="G40" s="27" t="n"/>
      <c r="H40" s="27" t="n"/>
      <c r="I40" s="24" t="n"/>
    </row>
    <row r="41">
      <c r="B41" s="24" t="n"/>
      <c r="C41" s="24" t="n"/>
      <c r="D41" s="25" t="n"/>
      <c r="E41" s="26" t="n"/>
      <c r="F41" s="24" t="n"/>
      <c r="G41" s="27" t="n"/>
      <c r="H41" s="27" t="n"/>
      <c r="I41" s="24" t="n"/>
    </row>
    <row r="42">
      <c r="B42" s="24" t="n"/>
      <c r="C42" s="24" t="n"/>
      <c r="D42" s="25" t="n"/>
      <c r="E42" s="26" t="n"/>
      <c r="F42" s="24" t="n"/>
      <c r="G42" s="27" t="n"/>
      <c r="H42" s="27" t="n"/>
      <c r="I42" s="24" t="n"/>
    </row>
    <row r="43">
      <c r="B43" s="24" t="n"/>
      <c r="C43" s="24" t="n"/>
      <c r="D43" s="25" t="n"/>
      <c r="E43" s="26" t="n"/>
      <c r="F43" s="24" t="n"/>
      <c r="G43" s="27" t="n"/>
      <c r="H43" s="27" t="n"/>
      <c r="I43" s="24" t="n"/>
    </row>
    <row r="44">
      <c r="B44" s="24" t="n"/>
      <c r="C44" s="24" t="n"/>
      <c r="D44" s="25" t="n"/>
      <c r="E44" s="26" t="n"/>
      <c r="F44" s="24" t="n"/>
      <c r="G44" s="27" t="n"/>
      <c r="H44" s="27" t="n"/>
      <c r="I44" s="24" t="n"/>
    </row>
    <row r="45">
      <c r="B45" s="24" t="n"/>
      <c r="C45" s="24" t="n"/>
      <c r="D45" s="25" t="n"/>
      <c r="E45" s="26" t="n"/>
      <c r="F45" s="24" t="n"/>
      <c r="G45" s="27" t="n"/>
      <c r="H45" s="27" t="n"/>
      <c r="I45" s="24" t="n"/>
    </row>
    <row r="46">
      <c r="B46" s="24" t="n"/>
      <c r="C46" s="24" t="n"/>
      <c r="D46" s="25" t="n"/>
      <c r="E46" s="26" t="n"/>
      <c r="F46" s="24" t="n"/>
      <c r="G46" s="27" t="n"/>
      <c r="H46" s="27" t="n"/>
      <c r="I46" s="24" t="n"/>
    </row>
    <row r="47">
      <c r="B47" s="24" t="n"/>
      <c r="C47" s="24" t="n"/>
      <c r="D47" s="25" t="n"/>
      <c r="E47" s="26" t="n"/>
      <c r="F47" s="24" t="n"/>
      <c r="G47" s="27" t="n"/>
      <c r="H47" s="27" t="n"/>
      <c r="I47" s="24" t="n"/>
    </row>
    <row r="48">
      <c r="B48" s="24" t="n"/>
      <c r="C48" s="24" t="n"/>
      <c r="D48" s="25" t="n"/>
      <c r="E48" s="26" t="n"/>
      <c r="F48" s="24" t="n"/>
      <c r="G48" s="27" t="n"/>
      <c r="H48" s="27" t="n"/>
      <c r="I48" s="24" t="n"/>
    </row>
    <row r="49">
      <c r="B49" s="24" t="n"/>
      <c r="C49" s="24" t="n"/>
      <c r="D49" s="25" t="n"/>
      <c r="E49" s="26" t="n"/>
      <c r="F49" s="24" t="n"/>
      <c r="G49" s="27" t="n"/>
      <c r="H49" s="27" t="n"/>
      <c r="I49" s="24" t="n"/>
    </row>
    <row r="50">
      <c r="B50" s="24" t="n"/>
      <c r="C50" s="24" t="n"/>
      <c r="D50" s="25" t="n"/>
      <c r="E50" s="26" t="n"/>
      <c r="F50" s="24" t="n"/>
      <c r="G50" s="27" t="n"/>
      <c r="H50" s="27" t="n"/>
      <c r="I50" s="24" t="n"/>
    </row>
    <row r="51">
      <c r="B51" s="24" t="n"/>
      <c r="C51" s="24" t="n"/>
      <c r="D51" s="25" t="n"/>
      <c r="E51" s="26" t="n"/>
      <c r="F51" s="24" t="n"/>
      <c r="G51" s="27" t="n"/>
      <c r="H51" s="27" t="n"/>
      <c r="I51" s="24" t="n"/>
    </row>
    <row r="52">
      <c r="B52" s="24" t="n"/>
      <c r="C52" s="24" t="n"/>
      <c r="D52" s="25" t="n"/>
      <c r="E52" s="26" t="n"/>
      <c r="F52" s="24" t="n"/>
      <c r="G52" s="27" t="n"/>
      <c r="H52" s="27" t="n"/>
      <c r="I52" s="24" t="n"/>
    </row>
    <row r="53">
      <c r="B53" s="24" t="n"/>
      <c r="C53" s="24" t="n"/>
      <c r="D53" s="25" t="n"/>
      <c r="E53" s="26" t="n"/>
      <c r="F53" s="24" t="n"/>
      <c r="G53" s="27" t="n"/>
      <c r="H53" s="27" t="n"/>
      <c r="I53" s="24" t="n"/>
    </row>
    <row r="54">
      <c r="B54" s="24" t="n"/>
      <c r="C54" s="24" t="n"/>
      <c r="D54" s="25" t="n"/>
      <c r="E54" s="26" t="n"/>
      <c r="F54" s="24" t="n"/>
      <c r="G54" s="27" t="n"/>
      <c r="H54" s="27" t="n"/>
      <c r="I54" s="24" t="n"/>
    </row>
    <row r="55">
      <c r="B55" s="15" t="n"/>
      <c r="C55" s="15" t="inlineStr">
        <is>
          <t>Total</t>
        </is>
      </c>
      <c r="D55" s="15" t="n"/>
      <c r="E55" s="28">
        <f>SUM(E5:E54)</f>
        <v>12</v>
      </c>
      <c r="F55" s="15" t="n"/>
      <c r="G55" s="15" t="n"/>
      <c r="H55" s="16">
        <f>SUM(H5:H54)</f>
        <v>16</v>
      </c>
      <c r="I55" s="15" t="n"/>
    </row>
  </sheetData>
  <dataValidations count="1">
    <dataValidation sqref="B5:B54" showDropDown="0" showInputMessage="0" showErrorMessage="0" allowBlank="1" type="list">
      <formula1>=Lists!$A$2:$A$16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13" customWidth="1" min="4" max="4"/>
    <col width="12" customWidth="1" min="5" max="5"/>
    <col width="8" customWidth="1" min="6" max="6"/>
    <col width="26" customWidth="1" min="7" max="7"/>
    <col width="4" customWidth="1" min="8" max="8"/>
    <col width="18" customWidth="1" min="9" max="9"/>
    <col width="8" customWidth="1" min="10" max="10"/>
    <col width="2" customWidth="1" min="11" max="11"/>
    <col width="22" customWidth="1" min="12" max="12"/>
    <col width="8" customWidth="1" min="13" max="13"/>
  </cols>
  <sheetData>
    <row r="1">
      <c r="B1" s="1" t="inlineStr">
        <is>
          <t>All Courses — Register &amp; Counts</t>
        </is>
      </c>
    </row>
    <row r="2">
      <c r="B2" s="7" t="inlineStr">
        <is>
          <t>List each course once. Pick Course Type and Department from the dropdowns. The green blocks on the right count courses automatically.</t>
        </is>
      </c>
    </row>
    <row r="4">
      <c r="B4" s="10" t="inlineStr">
        <is>
          <t>Course Name</t>
        </is>
      </c>
      <c r="C4" s="10" t="inlineStr">
        <is>
          <t>Course Type</t>
        </is>
      </c>
      <c r="D4" s="10" t="inlineStr">
        <is>
          <t>Department</t>
        </is>
      </c>
      <c r="E4" s="10" t="inlineStr">
        <is>
          <t>Participants</t>
        </is>
      </c>
      <c r="F4" s="10" t="inlineStr">
        <is>
          <t>Runs</t>
        </is>
      </c>
      <c r="G4" s="10" t="inlineStr">
        <is>
          <t>Notes</t>
        </is>
      </c>
      <c r="I4" s="29" t="inlineStr">
        <is>
          <t>Courses by Department</t>
        </is>
      </c>
      <c r="J4" s="29" t="n"/>
      <c r="L4" s="29" t="inlineStr">
        <is>
          <t>Courses by Type</t>
        </is>
      </c>
      <c r="M4" s="29" t="n"/>
    </row>
    <row r="5">
      <c r="B5" s="18" t="inlineStr">
        <is>
          <t>Example course — replace or delete</t>
        </is>
      </c>
      <c r="C5" s="18" t="inlineStr">
        <is>
          <t>Higher Nitec</t>
        </is>
      </c>
      <c r="D5" s="18" t="inlineStr">
        <is>
          <t>LTE1</t>
        </is>
      </c>
      <c r="E5" s="21" t="n">
        <v>20</v>
      </c>
      <c r="F5" s="21" t="n">
        <v>1</v>
      </c>
      <c r="G5" s="18" t="inlineStr"/>
      <c r="H5" s="23" t="inlineStr">
        <is>
          <t>◄ EXAMPLE — replace or delete</t>
        </is>
      </c>
      <c r="I5" s="11" t="inlineStr">
        <is>
          <t>LTE1</t>
        </is>
      </c>
      <c r="J5" s="30">
        <f>COUNTIF($D$5:$D$54,I5)</f>
        <v>1</v>
      </c>
      <c r="L5" s="31" t="inlineStr">
        <is>
          <t>WSDip</t>
        </is>
      </c>
      <c r="M5" s="30">
        <f>COUNTIF($C$5:$C$54,L5)</f>
        <v>0</v>
      </c>
    </row>
    <row r="6">
      <c r="B6" s="24" t="n"/>
      <c r="C6" s="24" t="n"/>
      <c r="D6" s="24" t="n"/>
      <c r="E6" s="27" t="n"/>
      <c r="F6" s="27" t="n"/>
      <c r="G6" s="24" t="n"/>
      <c r="I6" s="11" t="inlineStr">
        <is>
          <t>LTE2</t>
        </is>
      </c>
      <c r="J6" s="30">
        <f>COUNTIF($D$5:$D$54,I6)</f>
        <v>0</v>
      </c>
      <c r="L6" s="31" t="inlineStr">
        <is>
          <t>Higher Nitec</t>
        </is>
      </c>
      <c r="M6" s="30">
        <f>COUNTIF($C$5:$C$54,L6)</f>
        <v>1</v>
      </c>
    </row>
    <row r="7">
      <c r="B7" s="24" t="n"/>
      <c r="C7" s="24" t="n"/>
      <c r="D7" s="24" t="n"/>
      <c r="E7" s="27" t="n"/>
      <c r="F7" s="27" t="n"/>
      <c r="G7" s="24" t="n"/>
      <c r="I7" s="11" t="inlineStr">
        <is>
          <t>EE</t>
        </is>
      </c>
      <c r="J7" s="30">
        <f>COUNTIF($D$5:$D$54,I7)</f>
        <v>0</v>
      </c>
      <c r="L7" s="31" t="inlineStr">
        <is>
          <t>Higher Nitec (Enhanced)</t>
        </is>
      </c>
      <c r="M7" s="30">
        <f>COUNTIF($C$5:$C$54,L7)</f>
        <v>0</v>
      </c>
    </row>
    <row r="8">
      <c r="B8" s="24" t="n"/>
      <c r="C8" s="24" t="n"/>
      <c r="D8" s="24" t="n"/>
      <c r="E8" s="27" t="n"/>
      <c r="F8" s="27" t="n"/>
      <c r="G8" s="24" t="n"/>
      <c r="I8" s="11" t="inlineStr">
        <is>
          <t>MCE</t>
        </is>
      </c>
      <c r="J8" s="30">
        <f>COUNTIF($D$5:$D$54,I8)</f>
        <v>0</v>
      </c>
      <c r="L8" s="31" t="inlineStr">
        <is>
          <t>Nitec</t>
        </is>
      </c>
      <c r="M8" s="30">
        <f>COUNTIF($C$5:$C$54,L8)</f>
        <v>0</v>
      </c>
    </row>
    <row r="9">
      <c r="B9" s="24" t="n"/>
      <c r="C9" s="24" t="n"/>
      <c r="D9" s="24" t="n"/>
      <c r="E9" s="27" t="n"/>
      <c r="F9" s="27" t="n"/>
      <c r="G9" s="24" t="n"/>
      <c r="I9" s="11" t="inlineStr">
        <is>
          <t>ME</t>
        </is>
      </c>
      <c r="J9" s="30">
        <f>COUNTIF($D$5:$D$54,I9)</f>
        <v>0</v>
      </c>
      <c r="L9" s="31" t="inlineStr">
        <is>
          <t>ISC</t>
        </is>
      </c>
      <c r="M9" s="30">
        <f>COUNTIF($C$5:$C$54,L9)</f>
        <v>0</v>
      </c>
    </row>
    <row r="10">
      <c r="B10" s="24" t="n"/>
      <c r="C10" s="24" t="n"/>
      <c r="D10" s="24" t="n"/>
      <c r="E10" s="27" t="n"/>
      <c r="F10" s="27" t="n"/>
      <c r="G10" s="24" t="n"/>
      <c r="I10" s="11" t="inlineStr">
        <is>
          <t>BE</t>
        </is>
      </c>
      <c r="J10" s="30">
        <f>COUNTIF($D$5:$D$54,I10)</f>
        <v>0</v>
      </c>
      <c r="L10" s="31" t="inlineStr">
        <is>
          <t>ISC (WTC)</t>
        </is>
      </c>
      <c r="M10" s="30">
        <f>COUNTIF($C$5:$C$54,L10)</f>
        <v>0</v>
      </c>
    </row>
    <row r="11">
      <c r="B11" s="24" t="n"/>
      <c r="C11" s="24" t="n"/>
      <c r="D11" s="24" t="n"/>
      <c r="E11" s="27" t="n"/>
      <c r="F11" s="27" t="n"/>
      <c r="G11" s="24" t="n"/>
      <c r="I11" s="15" t="inlineStr">
        <is>
          <t>Total</t>
        </is>
      </c>
      <c r="J11" s="28">
        <f>SUM(J5:J10)</f>
        <v>1</v>
      </c>
      <c r="L11" s="31" t="inlineStr">
        <is>
          <t>SCTP</t>
        </is>
      </c>
      <c r="M11" s="30">
        <f>COUNTIF($C$5:$C$54,L11)</f>
        <v>0</v>
      </c>
    </row>
    <row r="12">
      <c r="B12" s="24" t="n"/>
      <c r="C12" s="24" t="n"/>
      <c r="D12" s="24" t="n"/>
      <c r="E12" s="27" t="n"/>
      <c r="F12" s="27" t="n"/>
      <c r="G12" s="24" t="n"/>
      <c r="L12" s="31" t="inlineStr">
        <is>
          <t>CoC (ITE)</t>
        </is>
      </c>
      <c r="M12" s="30">
        <f>COUNTIF($C$5:$C$54,L12)</f>
        <v>0</v>
      </c>
    </row>
    <row r="13">
      <c r="B13" s="24" t="n"/>
      <c r="C13" s="24" t="n"/>
      <c r="D13" s="24" t="n"/>
      <c r="E13" s="27" t="n"/>
      <c r="F13" s="27" t="n"/>
      <c r="G13" s="24" t="n"/>
      <c r="L13" s="31" t="inlineStr">
        <is>
          <t>CoC (WTC)</t>
        </is>
      </c>
      <c r="M13" s="30">
        <f>COUNTIF($C$5:$C$54,L13)</f>
        <v>0</v>
      </c>
    </row>
    <row r="14">
      <c r="B14" s="24" t="n"/>
      <c r="C14" s="24" t="n"/>
      <c r="D14" s="24" t="n"/>
      <c r="E14" s="27" t="n"/>
      <c r="F14" s="27" t="n"/>
      <c r="G14" s="24" t="n"/>
      <c r="L14" s="31" t="inlineStr">
        <is>
          <t>Short Courses</t>
        </is>
      </c>
      <c r="M14" s="30">
        <f>COUNTIF($C$5:$C$54,L14)</f>
        <v>0</v>
      </c>
    </row>
    <row r="15">
      <c r="B15" s="24" t="n"/>
      <c r="C15" s="24" t="n"/>
      <c r="D15" s="24" t="n"/>
      <c r="E15" s="27" t="n"/>
      <c r="F15" s="27" t="n"/>
      <c r="G15" s="24" t="n"/>
      <c r="L15" s="31" t="inlineStr">
        <is>
          <t>MLC</t>
        </is>
      </c>
      <c r="M15" s="30">
        <f>COUNTIF($C$5:$C$54,L15)</f>
        <v>0</v>
      </c>
    </row>
    <row r="16">
      <c r="B16" s="24" t="n"/>
      <c r="C16" s="24" t="n"/>
      <c r="D16" s="24" t="n"/>
      <c r="E16" s="27" t="n"/>
      <c r="F16" s="27" t="n"/>
      <c r="G16" s="24" t="n"/>
      <c r="L16" s="31" t="inlineStr">
        <is>
          <t>JIND</t>
        </is>
      </c>
      <c r="M16" s="30">
        <f>COUNTIF($C$5:$C$54,L16)</f>
        <v>0</v>
      </c>
    </row>
    <row r="17">
      <c r="B17" s="24" t="n"/>
      <c r="C17" s="24" t="n"/>
      <c r="D17" s="24" t="n"/>
      <c r="E17" s="27" t="n"/>
      <c r="F17" s="27" t="n"/>
      <c r="G17" s="24" t="n"/>
      <c r="L17" s="31" t="inlineStr">
        <is>
          <t>WSQ</t>
        </is>
      </c>
      <c r="M17" s="30">
        <f>COUNTIF($C$5:$C$54,L17)</f>
        <v>0</v>
      </c>
    </row>
    <row r="18">
      <c r="B18" s="24" t="n"/>
      <c r="C18" s="24" t="n"/>
      <c r="D18" s="24" t="n"/>
      <c r="E18" s="27" t="n"/>
      <c r="F18" s="27" t="n"/>
      <c r="G18" s="24" t="n"/>
      <c r="L18" s="31" t="inlineStr">
        <is>
          <t>TTT</t>
        </is>
      </c>
      <c r="M18" s="30">
        <f>COUNTIF($C$5:$C$54,L18)</f>
        <v>0</v>
      </c>
    </row>
    <row r="19">
      <c r="B19" s="24" t="n"/>
      <c r="C19" s="24" t="n"/>
      <c r="D19" s="24" t="n"/>
      <c r="E19" s="27" t="n"/>
      <c r="F19" s="27" t="n"/>
      <c r="G19" s="24" t="n"/>
      <c r="L19" s="31" t="inlineStr">
        <is>
          <t>GE</t>
        </is>
      </c>
      <c r="M19" s="30">
        <f>COUNTIF($C$5:$C$54,L19)</f>
        <v>0</v>
      </c>
    </row>
    <row r="20">
      <c r="B20" s="24" t="n"/>
      <c r="C20" s="24" t="n"/>
      <c r="D20" s="24" t="n"/>
      <c r="E20" s="27" t="n"/>
      <c r="F20" s="27" t="n"/>
      <c r="G20" s="24" t="n"/>
      <c r="L20" s="15" t="inlineStr">
        <is>
          <t>Total</t>
        </is>
      </c>
      <c r="M20" s="28">
        <f>SUM(M5:M19)</f>
        <v>1</v>
      </c>
    </row>
    <row r="21">
      <c r="B21" s="24" t="n"/>
      <c r="C21" s="24" t="n"/>
      <c r="D21" s="24" t="n"/>
      <c r="E21" s="27" t="n"/>
      <c r="F21" s="27" t="n"/>
      <c r="G21" s="24" t="n"/>
    </row>
    <row r="22">
      <c r="B22" s="24" t="n"/>
      <c r="C22" s="24" t="n"/>
      <c r="D22" s="24" t="n"/>
      <c r="E22" s="27" t="n"/>
      <c r="F22" s="27" t="n"/>
      <c r="G22" s="24" t="n"/>
    </row>
    <row r="23">
      <c r="B23" s="24" t="n"/>
      <c r="C23" s="24" t="n"/>
      <c r="D23" s="24" t="n"/>
      <c r="E23" s="27" t="n"/>
      <c r="F23" s="27" t="n"/>
      <c r="G23" s="24" t="n"/>
    </row>
    <row r="24">
      <c r="B24" s="24" t="n"/>
      <c r="C24" s="24" t="n"/>
      <c r="D24" s="24" t="n"/>
      <c r="E24" s="27" t="n"/>
      <c r="F24" s="27" t="n"/>
      <c r="G24" s="24" t="n"/>
    </row>
    <row r="25">
      <c r="B25" s="24" t="n"/>
      <c r="C25" s="24" t="n"/>
      <c r="D25" s="24" t="n"/>
      <c r="E25" s="27" t="n"/>
      <c r="F25" s="27" t="n"/>
      <c r="G25" s="24" t="n"/>
    </row>
    <row r="26">
      <c r="B26" s="24" t="n"/>
      <c r="C26" s="24" t="n"/>
      <c r="D26" s="24" t="n"/>
      <c r="E26" s="27" t="n"/>
      <c r="F26" s="27" t="n"/>
      <c r="G26" s="24" t="n"/>
    </row>
    <row r="27">
      <c r="B27" s="24" t="n"/>
      <c r="C27" s="24" t="n"/>
      <c r="D27" s="24" t="n"/>
      <c r="E27" s="27" t="n"/>
      <c r="F27" s="27" t="n"/>
      <c r="G27" s="24" t="n"/>
    </row>
    <row r="28">
      <c r="B28" s="24" t="n"/>
      <c r="C28" s="24" t="n"/>
      <c r="D28" s="24" t="n"/>
      <c r="E28" s="27" t="n"/>
      <c r="F28" s="27" t="n"/>
      <c r="G28" s="24" t="n"/>
    </row>
    <row r="29">
      <c r="B29" s="24" t="n"/>
      <c r="C29" s="24" t="n"/>
      <c r="D29" s="24" t="n"/>
      <c r="E29" s="27" t="n"/>
      <c r="F29" s="27" t="n"/>
      <c r="G29" s="24" t="n"/>
    </row>
    <row r="30">
      <c r="B30" s="24" t="n"/>
      <c r="C30" s="24" t="n"/>
      <c r="D30" s="24" t="n"/>
      <c r="E30" s="27" t="n"/>
      <c r="F30" s="27" t="n"/>
      <c r="G30" s="24" t="n"/>
    </row>
    <row r="31">
      <c r="B31" s="24" t="n"/>
      <c r="C31" s="24" t="n"/>
      <c r="D31" s="24" t="n"/>
      <c r="E31" s="27" t="n"/>
      <c r="F31" s="27" t="n"/>
      <c r="G31" s="24" t="n"/>
    </row>
    <row r="32">
      <c r="B32" s="24" t="n"/>
      <c r="C32" s="24" t="n"/>
      <c r="D32" s="24" t="n"/>
      <c r="E32" s="27" t="n"/>
      <c r="F32" s="27" t="n"/>
      <c r="G32" s="24" t="n"/>
    </row>
    <row r="33">
      <c r="B33" s="24" t="n"/>
      <c r="C33" s="24" t="n"/>
      <c r="D33" s="24" t="n"/>
      <c r="E33" s="27" t="n"/>
      <c r="F33" s="27" t="n"/>
      <c r="G33" s="24" t="n"/>
    </row>
    <row r="34">
      <c r="B34" s="24" t="n"/>
      <c r="C34" s="24" t="n"/>
      <c r="D34" s="24" t="n"/>
      <c r="E34" s="27" t="n"/>
      <c r="F34" s="27" t="n"/>
      <c r="G34" s="24" t="n"/>
    </row>
    <row r="35">
      <c r="B35" s="24" t="n"/>
      <c r="C35" s="24" t="n"/>
      <c r="D35" s="24" t="n"/>
      <c r="E35" s="27" t="n"/>
      <c r="F35" s="27" t="n"/>
      <c r="G35" s="24" t="n"/>
    </row>
    <row r="36">
      <c r="B36" s="24" t="n"/>
      <c r="C36" s="24" t="n"/>
      <c r="D36" s="24" t="n"/>
      <c r="E36" s="27" t="n"/>
      <c r="F36" s="27" t="n"/>
      <c r="G36" s="24" t="n"/>
    </row>
    <row r="37">
      <c r="B37" s="24" t="n"/>
      <c r="C37" s="24" t="n"/>
      <c r="D37" s="24" t="n"/>
      <c r="E37" s="27" t="n"/>
      <c r="F37" s="27" t="n"/>
      <c r="G37" s="24" t="n"/>
    </row>
    <row r="38">
      <c r="B38" s="24" t="n"/>
      <c r="C38" s="24" t="n"/>
      <c r="D38" s="24" t="n"/>
      <c r="E38" s="27" t="n"/>
      <c r="F38" s="27" t="n"/>
      <c r="G38" s="24" t="n"/>
    </row>
    <row r="39">
      <c r="B39" s="24" t="n"/>
      <c r="C39" s="24" t="n"/>
      <c r="D39" s="24" t="n"/>
      <c r="E39" s="27" t="n"/>
      <c r="F39" s="27" t="n"/>
      <c r="G39" s="24" t="n"/>
    </row>
    <row r="40">
      <c r="B40" s="24" t="n"/>
      <c r="C40" s="24" t="n"/>
      <c r="D40" s="24" t="n"/>
      <c r="E40" s="27" t="n"/>
      <c r="F40" s="27" t="n"/>
      <c r="G40" s="24" t="n"/>
    </row>
    <row r="41">
      <c r="B41" s="24" t="n"/>
      <c r="C41" s="24" t="n"/>
      <c r="D41" s="24" t="n"/>
      <c r="E41" s="27" t="n"/>
      <c r="F41" s="27" t="n"/>
      <c r="G41" s="24" t="n"/>
    </row>
    <row r="42">
      <c r="B42" s="24" t="n"/>
      <c r="C42" s="24" t="n"/>
      <c r="D42" s="24" t="n"/>
      <c r="E42" s="27" t="n"/>
      <c r="F42" s="27" t="n"/>
      <c r="G42" s="24" t="n"/>
    </row>
    <row r="43">
      <c r="B43" s="24" t="n"/>
      <c r="C43" s="24" t="n"/>
      <c r="D43" s="24" t="n"/>
      <c r="E43" s="27" t="n"/>
      <c r="F43" s="27" t="n"/>
      <c r="G43" s="24" t="n"/>
    </row>
    <row r="44">
      <c r="B44" s="24" t="n"/>
      <c r="C44" s="24" t="n"/>
      <c r="D44" s="24" t="n"/>
      <c r="E44" s="27" t="n"/>
      <c r="F44" s="27" t="n"/>
      <c r="G44" s="24" t="n"/>
    </row>
    <row r="45">
      <c r="B45" s="24" t="n"/>
      <c r="C45" s="24" t="n"/>
      <c r="D45" s="24" t="n"/>
      <c r="E45" s="27" t="n"/>
      <c r="F45" s="27" t="n"/>
      <c r="G45" s="24" t="n"/>
    </row>
    <row r="46">
      <c r="B46" s="24" t="n"/>
      <c r="C46" s="24" t="n"/>
      <c r="D46" s="24" t="n"/>
      <c r="E46" s="27" t="n"/>
      <c r="F46" s="27" t="n"/>
      <c r="G46" s="24" t="n"/>
    </row>
    <row r="47">
      <c r="B47" s="24" t="n"/>
      <c r="C47" s="24" t="n"/>
      <c r="D47" s="24" t="n"/>
      <c r="E47" s="27" t="n"/>
      <c r="F47" s="27" t="n"/>
      <c r="G47" s="24" t="n"/>
    </row>
    <row r="48">
      <c r="B48" s="24" t="n"/>
      <c r="C48" s="24" t="n"/>
      <c r="D48" s="24" t="n"/>
      <c r="E48" s="27" t="n"/>
      <c r="F48" s="27" t="n"/>
      <c r="G48" s="24" t="n"/>
    </row>
    <row r="49">
      <c r="B49" s="24" t="n"/>
      <c r="C49" s="24" t="n"/>
      <c r="D49" s="24" t="n"/>
      <c r="E49" s="27" t="n"/>
      <c r="F49" s="27" t="n"/>
      <c r="G49" s="24" t="n"/>
    </row>
    <row r="50">
      <c r="B50" s="24" t="n"/>
      <c r="C50" s="24" t="n"/>
      <c r="D50" s="24" t="n"/>
      <c r="E50" s="27" t="n"/>
      <c r="F50" s="27" t="n"/>
      <c r="G50" s="24" t="n"/>
    </row>
    <row r="51">
      <c r="B51" s="24" t="n"/>
      <c r="C51" s="24" t="n"/>
      <c r="D51" s="24" t="n"/>
      <c r="E51" s="27" t="n"/>
      <c r="F51" s="27" t="n"/>
      <c r="G51" s="24" t="n"/>
    </row>
    <row r="52">
      <c r="B52" s="24" t="n"/>
      <c r="C52" s="24" t="n"/>
      <c r="D52" s="24" t="n"/>
      <c r="E52" s="27" t="n"/>
      <c r="F52" s="27" t="n"/>
      <c r="G52" s="24" t="n"/>
    </row>
    <row r="53">
      <c r="B53" s="24" t="n"/>
      <c r="C53" s="24" t="n"/>
      <c r="D53" s="24" t="n"/>
      <c r="E53" s="27" t="n"/>
      <c r="F53" s="27" t="n"/>
      <c r="G53" s="24" t="n"/>
    </row>
    <row r="54">
      <c r="B54" s="24" t="n"/>
      <c r="C54" s="24" t="n"/>
      <c r="D54" s="24" t="n"/>
      <c r="E54" s="27" t="n"/>
      <c r="F54" s="27" t="n"/>
      <c r="G54" s="24" t="n"/>
    </row>
  </sheetData>
  <mergeCells count="2">
    <mergeCell ref="I4:J4"/>
    <mergeCell ref="L4:M4"/>
  </mergeCells>
  <dataValidations count="2">
    <dataValidation sqref="C5:C54" showDropDown="0" showInputMessage="0" showErrorMessage="0" allowBlank="1" type="list">
      <formula1>=Lists!$A$2:$A$16</formula1>
    </dataValidation>
    <dataValidation sqref="D5:D54" showDropDown="0" showInputMessage="0" showErrorMessage="0" allowBlank="1" type="list">
      <formula1>=Lists!$C$2:$C$7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22" customWidth="1" min="4" max="4"/>
  </cols>
  <sheetData>
    <row r="1">
      <c r="A1" s="32" t="inlineStr">
        <is>
          <t>Course Types</t>
        </is>
      </c>
      <c r="C1" s="32" t="inlineStr">
        <is>
          <t>Department</t>
        </is>
      </c>
      <c r="D1" s="32" t="inlineStr">
        <is>
          <t>Full name</t>
        </is>
      </c>
    </row>
    <row r="2">
      <c r="A2" s="3" t="inlineStr">
        <is>
          <t>WSDip</t>
        </is>
      </c>
      <c r="C2" s="3" t="inlineStr">
        <is>
          <t>LTE1</t>
        </is>
      </c>
      <c r="D2" s="3" t="inlineStr">
        <is>
          <t>AE Higher Nitec</t>
        </is>
      </c>
    </row>
    <row r="3">
      <c r="A3" s="3" t="inlineStr">
        <is>
          <t>Higher Nitec</t>
        </is>
      </c>
      <c r="C3" s="3" t="inlineStr">
        <is>
          <t>LTE2</t>
        </is>
      </c>
      <c r="D3" s="3" t="inlineStr">
        <is>
          <t>AE TED &amp; RTE</t>
        </is>
      </c>
    </row>
    <row r="4">
      <c r="A4" s="3" t="inlineStr">
        <is>
          <t>Higher Nitec (Enhanced)</t>
        </is>
      </c>
      <c r="C4" s="3" t="inlineStr">
        <is>
          <t>EE</t>
        </is>
      </c>
      <c r="D4" s="3" t="inlineStr">
        <is>
          <t>Electrical Engr</t>
        </is>
      </c>
    </row>
    <row r="5">
      <c r="A5" s="3" t="inlineStr">
        <is>
          <t>Nitec</t>
        </is>
      </c>
      <c r="C5" s="3" t="inlineStr">
        <is>
          <t>MCE</t>
        </is>
      </c>
      <c r="D5" s="3" t="inlineStr">
        <is>
          <t>Mechatronic Engr</t>
        </is>
      </c>
    </row>
    <row r="6">
      <c r="A6" s="3" t="inlineStr">
        <is>
          <t>ISC</t>
        </is>
      </c>
      <c r="C6" s="3" t="inlineStr">
        <is>
          <t>ME</t>
        </is>
      </c>
      <c r="D6" s="3" t="inlineStr">
        <is>
          <t>Mechanical Engr</t>
        </is>
      </c>
    </row>
    <row r="7">
      <c r="A7" s="3" t="inlineStr">
        <is>
          <t>ISC (WTC)</t>
        </is>
      </c>
      <c r="C7" s="3" t="inlineStr">
        <is>
          <t>BE</t>
        </is>
      </c>
      <c r="D7" s="3" t="inlineStr">
        <is>
          <t>Built Environment</t>
        </is>
      </c>
    </row>
    <row r="8">
      <c r="A8" s="3" t="inlineStr">
        <is>
          <t>SCTP</t>
        </is>
      </c>
    </row>
    <row r="9">
      <c r="A9" s="3" t="inlineStr">
        <is>
          <t>CoC (ITE)</t>
        </is>
      </c>
    </row>
    <row r="10">
      <c r="A10" s="3" t="inlineStr">
        <is>
          <t>CoC (WTC)</t>
        </is>
      </c>
    </row>
    <row r="11">
      <c r="A11" s="3" t="inlineStr">
        <is>
          <t>Short Courses</t>
        </is>
      </c>
    </row>
    <row r="12">
      <c r="A12" s="3" t="inlineStr">
        <is>
          <t>MLC</t>
        </is>
      </c>
    </row>
    <row r="13">
      <c r="A13" s="3" t="inlineStr">
        <is>
          <t>JIND</t>
        </is>
      </c>
    </row>
    <row r="14">
      <c r="A14" s="3" t="inlineStr">
        <is>
          <t>WSQ</t>
        </is>
      </c>
    </row>
    <row r="15">
      <c r="A15" s="3" t="inlineStr">
        <is>
          <t>TTT</t>
        </is>
      </c>
    </row>
    <row r="16">
      <c r="A16" s="3" t="inlineStr">
        <is>
          <t>GE</t>
        </is>
      </c>
    </row>
    <row r="19">
      <c r="A19" s="7" t="inlineStr">
        <is>
          <t>Edit this sheet only to add/rename a course type or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2026-08-24T08:20:00Z</dcterms:created>
  <dcterms:modified xsi:type="dcterms:W3CDTF">2026-08-24T08:20:00Z</dcterms:modified>
</cp:coreProperties>
</file>