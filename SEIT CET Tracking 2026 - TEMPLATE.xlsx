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verall" sheetId="2" state="visible" r:id="rId2"/>
    <sheet name="Overall (Hours)" sheetId="3" state="visible" r:id="rId3"/>
    <sheet name="WSDip" sheetId="4" state="visible" r:id="rId4"/>
    <sheet name="Higher Nitec (CET)" sheetId="5" state="visible" r:id="rId5"/>
    <sheet name="SCTP" sheetId="6" state="visible" r:id="rId6"/>
    <sheet name="CoC" sheetId="7" state="visible" r:id="rId7"/>
    <sheet name="Short Courses" sheetId="8" state="visible" r:id="rId8"/>
    <sheet name="MLC" sheetId="9" state="visible" r:id="rId9"/>
    <sheet name="APLM" sheetId="10" state="visible" r:id="rId10"/>
    <sheet name="9 Course Tracking" sheetId="11" state="visible" r:id="rId11"/>
    <sheet name="CoC Own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 mmm yyyy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73B63"/>
      <sz val="16"/>
    </font>
    <font>
      <name val="Arial"/>
      <color rgb="00000000"/>
      <sz val="10"/>
    </font>
    <font>
      <name val="Arial"/>
      <b val="1"/>
      <color rgb="00007F79"/>
      <sz val="11"/>
    </font>
    <font>
      <name val="Arial"/>
      <b val="1"/>
      <color rgb="00000000"/>
      <sz val="10"/>
    </font>
    <font>
      <name val="Arial"/>
      <b val="1"/>
      <color rgb="00173B63"/>
      <sz val="14"/>
    </font>
    <font>
      <name val="Arial"/>
      <b val="1"/>
      <color rgb="00173B63"/>
      <sz val="11"/>
    </font>
    <font>
      <name val="Arial"/>
      <b val="1"/>
      <color rgb="00FFFFFF"/>
      <sz val="10"/>
    </font>
    <font>
      <name val="Arial"/>
      <b val="1"/>
      <color rgb="00C77B16"/>
      <sz val="9"/>
    </font>
    <font>
      <name val="Arial"/>
      <color rgb="00667085"/>
      <sz val="9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DECC8"/>
      </patternFill>
    </fill>
    <fill>
      <patternFill patternType="solid">
        <fgColor rgb="00E8F1F0"/>
      </patternFill>
    </fill>
    <fill>
      <patternFill patternType="solid">
        <fgColor rgb="00173B63"/>
      </patternFill>
    </fill>
    <fill>
      <patternFill patternType="solid">
        <fgColor rgb="00DDE7EF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2">
      <c r="B2" s="1" t="inlineStr">
        <is>
          <t>SEIT CET Progress Dashboard — BLANK TEMPLATE (FY2026)</t>
        </is>
      </c>
    </row>
    <row r="3">
      <c r="B3" s="2" t="inlineStr"/>
    </row>
    <row r="4">
      <c r="B4" s="3" t="inlineStr">
        <is>
          <t>HOW TO USE THIS TEMPLATE</t>
        </is>
      </c>
    </row>
    <row r="5">
      <c r="B5" s="2" t="inlineStr">
        <is>
          <t>1.  Each detail sheet has ONE shaded EXAMPLE row (light-orange) followed by empty YELLOW rows.</t>
        </is>
      </c>
    </row>
    <row r="6">
      <c r="B6" s="2" t="inlineStr">
        <is>
          <t>2.  Type your real activities into the yellow rows, then DELETE or overwrite the example row.</t>
        </is>
      </c>
    </row>
    <row r="7">
      <c r="B7" s="2" t="inlineStr">
        <is>
          <t>3.  Fill the Target / Cluster Target columns on the Overall sheet (yellow).</t>
        </is>
      </c>
    </row>
    <row r="8">
      <c r="B8" s="2" t="inlineStr">
        <is>
          <t>4.  Save in Excel (Ctrl+S) — this refreshes the Overall / Overall (Hours) totals so the</t>
        </is>
      </c>
    </row>
    <row r="9">
      <c r="B9" s="2" t="inlineStr">
        <is>
          <t xml:space="preserve">     dashboard's reconciliation check passes. Then load the file with the dashboard's Upload button.</t>
        </is>
      </c>
    </row>
    <row r="10">
      <c r="B10" s="2" t="inlineStr">
        <is>
          <t>5.  Everything is processed on your device — nothing is uploaded anywhere.</t>
        </is>
      </c>
    </row>
    <row r="11">
      <c r="B11" s="2" t="inlineStr"/>
    </row>
    <row r="12">
      <c r="B12" s="3" t="inlineStr">
        <is>
          <t>WHAT COUNTS AS A ROW</t>
        </is>
      </c>
    </row>
    <row r="13">
      <c r="B13" s="2" t="inlineStr">
        <is>
          <t>•  Cluster (column B) must be exactly one of: EC1, EC2, ICT1, ICT2 — else the row is ignored.</t>
        </is>
      </c>
    </row>
    <row r="14">
      <c r="B14" s="2" t="inlineStr">
        <is>
          <t>•  The course / module name (column C) must be filled in.</t>
        </is>
      </c>
    </row>
    <row r="15">
      <c r="B15" s="2" t="inlineStr">
        <is>
          <t>•  Blank or 0 participants = 'Planned / not run' (kept, counts as 0 participation).</t>
        </is>
      </c>
    </row>
    <row r="16">
      <c r="B16" s="2" t="inlineStr">
        <is>
          <t>•  Add rows INSIDE a section (above its 'Total' row). Never overwrite the Total column on Overall.</t>
        </is>
      </c>
    </row>
    <row r="17">
      <c r="B17" s="2" t="inlineStr">
        <is>
          <t>•  The workbook must contain at least one valid row or the dashboard won't load.</t>
        </is>
      </c>
    </row>
    <row r="18">
      <c r="B18" s="2" t="inlineStr"/>
    </row>
    <row r="19">
      <c r="B19" s="3" t="inlineStr">
        <is>
          <t>THE RECONCILIATION RULE</t>
        </is>
      </c>
    </row>
    <row r="20">
      <c r="B20" s="2" t="inlineStr">
        <is>
          <t>•  The dashboard re-adds every detail row and compares it to the Overall Total column.</t>
        </is>
      </c>
    </row>
    <row r="21">
      <c r="B21" s="2" t="inlineStr">
        <is>
          <t>•  Formulas keep these in sync automatically — just don't edit the Overall Total column, and save.</t>
        </is>
      </c>
    </row>
    <row r="22">
      <c r="B22" s="2" t="inlineStr">
        <is>
          <t>•  If a total is stale the dashboard refuses to load and names the exact programme that differs.</t>
        </is>
      </c>
    </row>
    <row r="23">
      <c r="B23" s="2" t="inlineStr"/>
    </row>
    <row r="24">
      <c r="B24" s="3" t="inlineStr">
        <is>
          <t>WORKSHEETS THE DASHBOARD READS</t>
        </is>
      </c>
    </row>
    <row r="25">
      <c r="B25" s="2" t="inlineStr">
        <is>
          <t>•  Overall / Overall (Hours) — targets + auto-summed totals.</t>
        </is>
      </c>
    </row>
    <row r="26">
      <c r="B26" s="2" t="inlineStr">
        <is>
          <t>•  WSDip / Higher Nitec (CET) / SCTP / CoC / Short Courses / MLC / APLM — detailed activity rows.</t>
        </is>
      </c>
    </row>
    <row r="27">
      <c r="B27" s="2" t="inlineStr">
        <is>
          <t>•  9 Course Tracking — pipeline tab (data from row 3).   •  CoC Owners — CoC offerings register.</t>
        </is>
      </c>
    </row>
    <row r="28">
      <c r="B28" s="2" t="inlineStr"/>
    </row>
    <row r="29">
      <c r="B29" s="3" t="inlineStr">
        <is>
          <t>SPECIAL RULES</t>
        </is>
      </c>
    </row>
    <row r="30">
      <c r="B30" s="2" t="inlineStr">
        <is>
          <t>•  MLC = annual-cumulative (no dates).   •  APLM = monitoring-only (excluded from CET totals).</t>
        </is>
      </c>
    </row>
    <row r="31">
      <c r="B31" s="2" t="inlineStr">
        <is>
          <t>•  SCTP participation is counted ONCE = the number in the SCTP 'Total' row, column E.</t>
        </is>
      </c>
    </row>
    <row r="32">
      <c r="B32" s="2" t="inlineStr">
        <is>
          <t>•  Quarter = FY term code if present (5264=Q1, 5267=Q2, 526X=Q3, 5261=Q4), else the date.</t>
        </is>
      </c>
    </row>
    <row r="33">
      <c r="B33" s="2" t="inlineStr">
        <is>
          <t xml:space="preserve">     FY2026 runs 1 Apr 2026 → 31 Mar 2027.</t>
        </is>
      </c>
    </row>
    <row r="35">
      <c r="B35" s="4" t="inlineStr">
        <is>
          <t>Legend:</t>
        </is>
      </c>
      <c r="C35" s="5" t="inlineStr">
        <is>
          <t xml:space="preserve">  yellow = you fill in</t>
        </is>
      </c>
      <c r="E35" s="6" t="inlineStr">
        <is>
          <t xml:space="preserve">  orange = example (delete)</t>
        </is>
      </c>
    </row>
  </sheetData>
  <mergeCells count="31">
    <mergeCell ref="B9:K9"/>
    <mergeCell ref="B30:K30"/>
    <mergeCell ref="B15:K15"/>
    <mergeCell ref="B6:K6"/>
    <mergeCell ref="B24:K24"/>
    <mergeCell ref="B20:K20"/>
    <mergeCell ref="B33:K33"/>
    <mergeCell ref="B5:K5"/>
    <mergeCell ref="B32:K32"/>
    <mergeCell ref="B4:K4"/>
    <mergeCell ref="B26:K26"/>
    <mergeCell ref="B7:K7"/>
    <mergeCell ref="B25:K25"/>
    <mergeCell ref="B16:K16"/>
    <mergeCell ref="B3:K3"/>
    <mergeCell ref="B31:K31"/>
    <mergeCell ref="B22:K22"/>
    <mergeCell ref="B18:K18"/>
    <mergeCell ref="B27:K27"/>
    <mergeCell ref="B21:K21"/>
    <mergeCell ref="B12:K12"/>
    <mergeCell ref="B11:K11"/>
    <mergeCell ref="B23:K23"/>
    <mergeCell ref="B8:K8"/>
    <mergeCell ref="B14:K14"/>
    <mergeCell ref="B17:K17"/>
    <mergeCell ref="B13:K13"/>
    <mergeCell ref="B29:K29"/>
    <mergeCell ref="B10:K10"/>
    <mergeCell ref="B28:K28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B1" s="7" t="inlineStr">
        <is>
          <t>Overall — CET Participation</t>
        </is>
      </c>
    </row>
    <row r="2">
      <c r="B2" s="8" t="inlineStr">
        <is>
          <t>Fill Target &amp; Cluster Target (yellow) with your approved figures. The Total column auto-sums the detail sheets and is what the dashboard reconciles.</t>
        </is>
      </c>
    </row>
    <row r="4">
      <c r="B4" s="9" t="inlineStr">
        <is>
          <t>Programme</t>
        </is>
      </c>
      <c r="C4" s="9" t="inlineStr">
        <is>
          <t>Target</t>
        </is>
      </c>
      <c r="D4" s="9" t="inlineStr">
        <is>
          <t>Cluster Target</t>
        </is>
      </c>
      <c r="E4" s="9" t="inlineStr">
        <is>
          <t>EC1</t>
        </is>
      </c>
      <c r="F4" s="9" t="inlineStr">
        <is>
          <t>EC2</t>
        </is>
      </c>
      <c r="G4" s="9" t="inlineStr">
        <is>
          <t>ICT1</t>
        </is>
      </c>
      <c r="H4" s="9" t="inlineStr">
        <is>
          <t>ICT2</t>
        </is>
      </c>
      <c r="I4" s="9" t="inlineStr">
        <is>
          <t>Total</t>
        </is>
      </c>
      <c r="J4" s="9" t="inlineStr">
        <is>
          <t>%</t>
        </is>
      </c>
    </row>
    <row r="5">
      <c r="B5" s="10" t="inlineStr">
        <is>
          <t>WSDip</t>
        </is>
      </c>
      <c r="C5" s="11" t="inlineStr"/>
      <c r="D5" s="11" t="inlineStr"/>
      <c r="E5" s="12">
        <f>SUMIFS('WSDip'!E5:E17,'WSDip'!B5:B17,"EC1")</f>
        <v>20</v>
      </c>
      <c r="F5" s="12">
        <f>SUMIFS('WSDip'!E5:E17,'WSDip'!B5:B17,"EC2")</f>
        <v>0</v>
      </c>
      <c r="G5" s="12">
        <f>SUMIFS('WSDip'!E5:E17,'WSDip'!B5:B17,"ICT1")</f>
        <v>0</v>
      </c>
      <c r="H5" s="12">
        <f>SUMIFS('WSDip'!E5:E17,'WSDip'!B5:B17,"ICT2")</f>
        <v>0</v>
      </c>
      <c r="I5" s="13">
        <f>SUM('WSDip'!E5:E17)</f>
        <v>20</v>
      </c>
      <c r="J5" s="14">
        <f>IF(C5=0,0,I5/C5)</f>
        <v>0.0</v>
      </c>
    </row>
    <row r="6">
      <c r="B6" s="10" t="inlineStr">
        <is>
          <t>Higher Nitec (CET)</t>
        </is>
      </c>
      <c r="C6" s="11" t="inlineStr"/>
      <c r="D6" s="11" t="inlineStr"/>
      <c r="E6" s="12">
        <f>SUMIFS('Higher Nitec (CET)'!F5:F17,'Higher Nitec (CET)'!B5:B17,"EC1")</f>
        <v>20</v>
      </c>
      <c r="F6" s="12">
        <f>SUMIFS('Higher Nitec (CET)'!F5:F17,'Higher Nitec (CET)'!B5:B17,"EC2")</f>
        <v>0</v>
      </c>
      <c r="G6" s="12">
        <f>SUMIFS('Higher Nitec (CET)'!F5:F17,'Higher Nitec (CET)'!B5:B17,"ICT1")</f>
        <v>0</v>
      </c>
      <c r="H6" s="12">
        <f>SUMIFS('Higher Nitec (CET)'!F5:F17,'Higher Nitec (CET)'!B5:B17,"ICT2")</f>
        <v>0</v>
      </c>
      <c r="I6" s="13">
        <f>SUM('Higher Nitec (CET)'!F5:F17)</f>
        <v>20</v>
      </c>
      <c r="J6" s="14">
        <f>IF(C6=0,0,I6/C6)</f>
        <v>0.0</v>
      </c>
    </row>
    <row r="7">
      <c r="B7" s="10" t="inlineStr">
        <is>
          <t>SCTP</t>
        </is>
      </c>
      <c r="C7" s="11" t="inlineStr"/>
      <c r="D7" s="11" t="inlineStr"/>
      <c r="E7" s="12">
        <f>SUMIFS('SCTP'!E5:E17,'SCTP'!B5:B17,"EC1")</f>
        <v>0</v>
      </c>
      <c r="F7" s="12">
        <f>SUMIFS('SCTP'!E5:E17,'SCTP'!B5:B17,"EC2")</f>
        <v>0</v>
      </c>
      <c r="G7" s="12">
        <f>SUMIFS('SCTP'!E5:E17,'SCTP'!B5:B17,"ICT1")</f>
        <v>15</v>
      </c>
      <c r="H7" s="12">
        <f>SUMIFS('SCTP'!E5:E17,'SCTP'!B5:B17,"ICT2")</f>
        <v>0</v>
      </c>
      <c r="I7" s="13">
        <f>'SCTP'!E18</f>
        <v>20</v>
      </c>
      <c r="J7" s="14">
        <f>IF(C7=0,0,I7/C7)</f>
        <v>0.0</v>
      </c>
    </row>
    <row r="8">
      <c r="B8" s="10" t="inlineStr">
        <is>
          <t>CoC</t>
        </is>
      </c>
      <c r="C8" s="11" t="inlineStr"/>
      <c r="D8" s="11" t="inlineStr"/>
      <c r="E8" s="12">
        <f>SUMIFS('CoC'!F4:F16,'CoC'!B4:B16,"EC1")</f>
        <v>12</v>
      </c>
      <c r="F8" s="12">
        <f>SUMIFS('CoC'!F4:F16,'CoC'!B4:B16,"EC2")</f>
        <v>0</v>
      </c>
      <c r="G8" s="12">
        <f>SUMIFS('CoC'!F4:F16,'CoC'!B4:B16,"ICT1")</f>
        <v>0</v>
      </c>
      <c r="H8" s="12">
        <f>SUMIFS('CoC'!F4:F16,'CoC'!B4:B16,"ICT2")</f>
        <v>0</v>
      </c>
      <c r="I8" s="13">
        <f>SUM('CoC'!F4:F16)</f>
        <v>12</v>
      </c>
      <c r="J8" s="14">
        <f>IF(C8=0,0,I8/C8)</f>
        <v>0.0</v>
      </c>
    </row>
    <row r="9">
      <c r="B9" s="10" t="inlineStr">
        <is>
          <t>Short Courses</t>
        </is>
      </c>
      <c r="C9" s="11" t="inlineStr"/>
      <c r="D9" s="11" t="inlineStr"/>
      <c r="E9" s="12">
        <f>SUMIFS('Short Courses'!G4:G16,'Short Courses'!B4:B16,"EC1")</f>
        <v>0</v>
      </c>
      <c r="F9" s="12">
        <f>SUMIFS('Short Courses'!G4:G16,'Short Courses'!B4:B16,"EC2")</f>
        <v>25</v>
      </c>
      <c r="G9" s="12">
        <f>SUMIFS('Short Courses'!G4:G16,'Short Courses'!B4:B16,"ICT1")</f>
        <v>0</v>
      </c>
      <c r="H9" s="12">
        <f>SUMIFS('Short Courses'!G4:G16,'Short Courses'!B4:B16,"ICT2")</f>
        <v>0</v>
      </c>
      <c r="I9" s="13">
        <f>SUM('Short Courses'!G4:G16)</f>
        <v>25</v>
      </c>
      <c r="J9" s="14">
        <f>IF(C9=0,0,I9/C9)</f>
        <v>0.0</v>
      </c>
    </row>
    <row r="10">
      <c r="B10" s="10" t="inlineStr">
        <is>
          <t>MLC</t>
        </is>
      </c>
      <c r="C10" s="11" t="inlineStr"/>
      <c r="D10" s="11" t="inlineStr"/>
      <c r="E10" s="12">
        <f>SUMIFS('MLC'!D4:D16,'MLC'!B4:B16,"EC1")</f>
        <v>30</v>
      </c>
      <c r="F10" s="12">
        <f>SUMIFS('MLC'!D4:D16,'MLC'!B4:B16,"EC2")</f>
        <v>0</v>
      </c>
      <c r="G10" s="12">
        <f>SUMIFS('MLC'!D4:D16,'MLC'!B4:B16,"ICT1")</f>
        <v>0</v>
      </c>
      <c r="H10" s="12">
        <f>SUMIFS('MLC'!D4:D16,'MLC'!B4:B16,"ICT2")</f>
        <v>0</v>
      </c>
      <c r="I10" s="13">
        <f>SUM('MLC'!D4:D16)</f>
        <v>30</v>
      </c>
      <c r="J10" s="14">
        <f>IF(C10=0,0,I10/C10)</f>
        <v>0.0</v>
      </c>
    </row>
    <row r="11">
      <c r="B11" s="10" t="inlineStr">
        <is>
          <t>ApLM</t>
        </is>
      </c>
      <c r="C11" s="11" t="inlineStr"/>
      <c r="D11" s="11" t="inlineStr"/>
      <c r="E11" s="12">
        <f>SUMIFS('APLM'!G5:G17,'APLM'!B5:B17,"EC1")</f>
        <v>0</v>
      </c>
      <c r="F11" s="12">
        <f>SUMIFS('APLM'!G5:G17,'APLM'!B5:B17,"EC2")</f>
        <v>0</v>
      </c>
      <c r="G11" s="12">
        <f>SUMIFS('APLM'!G5:G17,'APLM'!B5:B17,"ICT1")</f>
        <v>10</v>
      </c>
      <c r="H11" s="12">
        <f>SUMIFS('APLM'!G5:G17,'APLM'!B5:B17,"ICT2")</f>
        <v>0</v>
      </c>
      <c r="I11" s="13">
        <f>SUM('APLM'!G5:G17)</f>
        <v>10</v>
      </c>
      <c r="J11" s="14">
        <f>IF(C11=0,0,I11/C11)</f>
        <v>0.0</v>
      </c>
    </row>
    <row r="12">
      <c r="B12" s="15" t="inlineStr">
        <is>
          <t>Total</t>
        </is>
      </c>
      <c r="C12" s="16">
        <f>SUM(C5:C11)</f>
        <v>0</v>
      </c>
      <c r="D12" s="16">
        <f>SUM(D5:D11)</f>
        <v>0</v>
      </c>
      <c r="E12" s="16">
        <f>SUM(E5:E11)</f>
        <v>82</v>
      </c>
      <c r="F12" s="16">
        <f>SUM(F5:F11)</f>
        <v>25</v>
      </c>
      <c r="G12" s="16">
        <f>SUM(G5:G11)</f>
        <v>25</v>
      </c>
      <c r="H12" s="16">
        <f>SUM(H5:H11)</f>
        <v>0</v>
      </c>
      <c r="I12" s="16">
        <f>SUM(I5:I11)</f>
        <v>137</v>
      </c>
      <c r="J12" s="17">
        <f>IF(C12=0,0,I12/C12)</f>
        <v>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B1" s="7" t="inlineStr">
        <is>
          <t>Overall (Hours) — CET Training Hours</t>
        </is>
      </c>
    </row>
    <row r="2">
      <c r="B2" s="8" t="inlineStr">
        <is>
          <t>Auto-summed CET training hours from the detail sheets. Drives the Training Hours tab.</t>
        </is>
      </c>
    </row>
    <row r="4">
      <c r="B4" s="9" t="inlineStr">
        <is>
          <t>Programme</t>
        </is>
      </c>
      <c r="C4" s="9" t="inlineStr">
        <is>
          <t>Target</t>
        </is>
      </c>
      <c r="D4" s="9" t="inlineStr">
        <is>
          <t>Cluster Target</t>
        </is>
      </c>
      <c r="E4" s="9" t="inlineStr">
        <is>
          <t>EC1</t>
        </is>
      </c>
      <c r="F4" s="9" t="inlineStr">
        <is>
          <t>EC2</t>
        </is>
      </c>
      <c r="G4" s="9" t="inlineStr">
        <is>
          <t>ICT1</t>
        </is>
      </c>
      <c r="H4" s="9" t="inlineStr">
        <is>
          <t>ICT2</t>
        </is>
      </c>
      <c r="I4" s="9" t="inlineStr">
        <is>
          <t>Total</t>
        </is>
      </c>
      <c r="J4" s="9" t="inlineStr">
        <is>
          <t>%</t>
        </is>
      </c>
    </row>
    <row r="5">
      <c r="B5" s="10" t="inlineStr">
        <is>
          <t>WSDip</t>
        </is>
      </c>
      <c r="C5" s="12" t="inlineStr"/>
      <c r="D5" s="12" t="inlineStr"/>
      <c r="E5" s="12">
        <f>SUMIFS('WSDip'!I5:I17,'WSDip'!B5:B17,"EC1",'WSDip'!E5:E17,"&gt;0")</f>
        <v>40</v>
      </c>
      <c r="F5" s="12">
        <f>SUMIFS('WSDip'!I5:I17,'WSDip'!B5:B17,"EC2",'WSDip'!E5:E17,"&gt;0")</f>
        <v>0</v>
      </c>
      <c r="G5" s="12">
        <f>SUMIFS('WSDip'!I5:I17,'WSDip'!B5:B17,"ICT1",'WSDip'!E5:E17,"&gt;0")</f>
        <v>0</v>
      </c>
      <c r="H5" s="12">
        <f>SUMIFS('WSDip'!I5:I17,'WSDip'!B5:B17,"ICT2",'WSDip'!E5:E17,"&gt;0")</f>
        <v>0</v>
      </c>
      <c r="I5" s="13">
        <f>SUMIFS('WSDip'!I5:I17,'WSDip'!E5:E17,"&gt;0")</f>
        <v>40</v>
      </c>
    </row>
    <row r="6">
      <c r="B6" s="10" t="inlineStr">
        <is>
          <t>Higher Nitec (CET)</t>
        </is>
      </c>
      <c r="C6" s="12" t="inlineStr"/>
      <c r="D6" s="12" t="inlineStr"/>
      <c r="E6" s="12">
        <f>SUMIFS('Higher Nitec (CET)'!H5:H17,'Higher Nitec (CET)'!B5:B17,"EC1",'Higher Nitec (CET)'!F5:F17,"&gt;0")</f>
        <v>60</v>
      </c>
      <c r="F6" s="12">
        <f>SUMIFS('Higher Nitec (CET)'!H5:H17,'Higher Nitec (CET)'!B5:B17,"EC2",'Higher Nitec (CET)'!F5:F17,"&gt;0")</f>
        <v>0</v>
      </c>
      <c r="G6" s="12">
        <f>SUMIFS('Higher Nitec (CET)'!H5:H17,'Higher Nitec (CET)'!B5:B17,"ICT1",'Higher Nitec (CET)'!F5:F17,"&gt;0")</f>
        <v>0</v>
      </c>
      <c r="H6" s="12">
        <f>SUMIFS('Higher Nitec (CET)'!H5:H17,'Higher Nitec (CET)'!B5:B17,"ICT2",'Higher Nitec (CET)'!F5:F17,"&gt;0")</f>
        <v>0</v>
      </c>
      <c r="I6" s="13">
        <f>SUMIFS('Higher Nitec (CET)'!H5:H17,'Higher Nitec (CET)'!F5:F17,"&gt;0")</f>
        <v>60</v>
      </c>
    </row>
    <row r="7">
      <c r="B7" s="10" t="inlineStr">
        <is>
          <t>SCTP</t>
        </is>
      </c>
      <c r="C7" s="12" t="inlineStr"/>
      <c r="D7" s="12" t="inlineStr"/>
      <c r="E7" s="12">
        <f>SUMIFS('SCTP'!H5:H17,'SCTP'!B5:B17,"EC1",'SCTP'!E5:E17,"&gt;0")</f>
        <v>0</v>
      </c>
      <c r="F7" s="12">
        <f>SUMIFS('SCTP'!H5:H17,'SCTP'!B5:B17,"EC2",'SCTP'!E5:E17,"&gt;0")</f>
        <v>0</v>
      </c>
      <c r="G7" s="12">
        <f>SUMIFS('SCTP'!H5:H17,'SCTP'!B5:B17,"ICT1",'SCTP'!E5:E17,"&gt;0")</f>
        <v>24</v>
      </c>
      <c r="H7" s="12">
        <f>SUMIFS('SCTP'!H5:H17,'SCTP'!B5:B17,"ICT2",'SCTP'!E5:E17,"&gt;0")</f>
        <v>0</v>
      </c>
      <c r="I7" s="13">
        <f>SUMIFS('SCTP'!H5:H17,'SCTP'!E5:E17,"&gt;0")</f>
        <v>24</v>
      </c>
    </row>
    <row r="8">
      <c r="B8" s="10" t="inlineStr">
        <is>
          <t>CoC</t>
        </is>
      </c>
      <c r="C8" s="12" t="inlineStr"/>
      <c r="D8" s="12" t="inlineStr"/>
      <c r="E8" s="12">
        <f>SUMIFS('CoC'!H4:H16,'CoC'!B4:B16,"EC1",'CoC'!F4:F16,"&gt;0")</f>
        <v>16</v>
      </c>
      <c r="F8" s="12">
        <f>SUMIFS('CoC'!H4:H16,'CoC'!B4:B16,"EC2",'CoC'!F4:F16,"&gt;0")</f>
        <v>0</v>
      </c>
      <c r="G8" s="12">
        <f>SUMIFS('CoC'!H4:H16,'CoC'!B4:B16,"ICT1",'CoC'!F4:F16,"&gt;0")</f>
        <v>0</v>
      </c>
      <c r="H8" s="12">
        <f>SUMIFS('CoC'!H4:H16,'CoC'!B4:B16,"ICT2",'CoC'!F4:F16,"&gt;0")</f>
        <v>0</v>
      </c>
      <c r="I8" s="13">
        <f>SUMIFS('CoC'!H4:H16,'CoC'!F4:F16,"&gt;0")</f>
        <v>16</v>
      </c>
    </row>
    <row r="9">
      <c r="B9" s="10" t="inlineStr">
        <is>
          <t>Short Courses</t>
        </is>
      </c>
      <c r="C9" s="12" t="inlineStr"/>
      <c r="D9" s="12" t="inlineStr"/>
      <c r="E9" s="12">
        <f>SUMIFS('Short Courses'!I4:I16,'Short Courses'!B4:B16,"EC1",'Short Courses'!G4:G16,"&gt;0")</f>
        <v>0</v>
      </c>
      <c r="F9" s="12">
        <f>SUMIFS('Short Courses'!I4:I16,'Short Courses'!B4:B16,"EC2",'Short Courses'!G4:G16,"&gt;0")</f>
        <v>24</v>
      </c>
      <c r="G9" s="12">
        <f>SUMIFS('Short Courses'!I4:I16,'Short Courses'!B4:B16,"ICT1",'Short Courses'!G4:G16,"&gt;0")</f>
        <v>0</v>
      </c>
      <c r="H9" s="12">
        <f>SUMIFS('Short Courses'!I4:I16,'Short Courses'!B4:B16,"ICT2",'Short Courses'!G4:G16,"&gt;0")</f>
        <v>0</v>
      </c>
      <c r="I9" s="13">
        <f>SUMIFS('Short Courses'!I4:I16,'Short Courses'!G4:G16,"&gt;0")</f>
        <v>24</v>
      </c>
    </row>
    <row r="10">
      <c r="B10" s="10" t="inlineStr">
        <is>
          <t>MLC</t>
        </is>
      </c>
      <c r="C10" s="12" t="inlineStr"/>
      <c r="D10" s="12" t="inlineStr"/>
      <c r="E10" s="12">
        <f>SUMIFS('MLC'!H4:H16,'MLC'!B4:B16,"EC1",'MLC'!D4:D16,"&gt;0")</f>
        <v>8</v>
      </c>
      <c r="F10" s="12">
        <f>SUMIFS('MLC'!H4:H16,'MLC'!B4:B16,"EC2",'MLC'!D4:D16,"&gt;0")</f>
        <v>0</v>
      </c>
      <c r="G10" s="12">
        <f>SUMIFS('MLC'!H4:H16,'MLC'!B4:B16,"ICT1",'MLC'!D4:D16,"&gt;0")</f>
        <v>0</v>
      </c>
      <c r="H10" s="12">
        <f>SUMIFS('MLC'!H4:H16,'MLC'!B4:B16,"ICT2",'MLC'!D4:D16,"&gt;0")</f>
        <v>0</v>
      </c>
      <c r="I10" s="13">
        <f>SUMIFS('MLC'!H4:H16,'MLC'!D4:D16,"&gt;0")</f>
        <v>8</v>
      </c>
    </row>
    <row r="11">
      <c r="B11" s="10" t="inlineStr">
        <is>
          <t>ApLM</t>
        </is>
      </c>
      <c r="C11" s="12" t="inlineStr"/>
      <c r="D11" s="12" t="inlineStr"/>
      <c r="E11" s="12">
        <f>SUMIFS('APLM'!I5:I17,'APLM'!B5:B17,"EC1",'APLM'!G5:G17,"&gt;0")</f>
        <v>0</v>
      </c>
      <c r="F11" s="12">
        <f>SUMIFS('APLM'!I5:I17,'APLM'!B5:B17,"EC2",'APLM'!G5:G17,"&gt;0")</f>
        <v>0</v>
      </c>
      <c r="G11" s="12">
        <f>SUMIFS('APLM'!I5:I17,'APLM'!B5:B17,"ICT1",'APLM'!G5:G17,"&gt;0")</f>
        <v>40</v>
      </c>
      <c r="H11" s="12">
        <f>SUMIFS('APLM'!I5:I17,'APLM'!B5:B17,"ICT2",'APLM'!G5:G17,"&gt;0")</f>
        <v>0</v>
      </c>
      <c r="I11" s="13">
        <f>SUMIFS('APLM'!I5:I17,'APLM'!G5:G17,"&gt;0")</f>
        <v>40</v>
      </c>
    </row>
    <row r="12">
      <c r="B12" s="15" t="inlineStr">
        <is>
          <t>Total</t>
        </is>
      </c>
      <c r="C12" s="16">
        <f>SUM(C5:C11)</f>
        <v>0</v>
      </c>
      <c r="D12" s="16">
        <f>SUM(D5:D11)</f>
        <v>0</v>
      </c>
      <c r="E12" s="16">
        <f>SUM(E5:E11)</f>
        <v>124</v>
      </c>
      <c r="F12" s="16">
        <f>SUM(F5:F11)</f>
        <v>24</v>
      </c>
      <c r="G12" s="16">
        <f>SUM(G5:G11)</f>
        <v>64</v>
      </c>
      <c r="H12" s="16">
        <f>SUM(H5:H11)</f>
        <v>0</v>
      </c>
      <c r="I12" s="16">
        <f>SUM(I5:I11)</f>
        <v>212</v>
      </c>
      <c r="J12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2" customWidth="1" min="12" max="12"/>
  </cols>
  <sheetData>
    <row r="1">
      <c r="B1" s="7" t="inlineStr">
        <is>
          <t>WSDip — Work-Study Diploma</t>
        </is>
      </c>
    </row>
    <row r="3">
      <c r="B3" s="18" t="inlineStr"/>
      <c r="C3" s="19" t="inlineStr">
        <is>
          <t>Example Work-Study Diploma</t>
        </is>
      </c>
      <c r="D3" s="18" t="inlineStr"/>
      <c r="E3" s="18" t="inlineStr"/>
      <c r="F3" s="18" t="inlineStr"/>
      <c r="G3" s="18" t="inlineStr"/>
      <c r="H3" s="18" t="inlineStr"/>
      <c r="I3" s="18" t="inlineStr"/>
      <c r="J3" s="18" t="inlineStr"/>
    </row>
    <row r="4">
      <c r="B4" s="9" t="inlineStr">
        <is>
          <t>Cluster</t>
        </is>
      </c>
      <c r="C4" s="9" t="inlineStr">
        <is>
          <t>WSDip Module</t>
        </is>
      </c>
      <c r="D4" s="9" t="inlineStr">
        <is>
          <t>Date</t>
        </is>
      </c>
      <c r="E4" s="9" t="inlineStr">
        <is>
          <t>Participants</t>
        </is>
      </c>
      <c r="F4" s="9" t="inlineStr">
        <is>
          <t>Trainer</t>
        </is>
      </c>
      <c r="G4" s="9" t="inlineStr">
        <is>
          <t>Term Code</t>
        </is>
      </c>
      <c r="H4" s="9" t="inlineStr">
        <is>
          <t>Hours</t>
        </is>
      </c>
      <c r="I4" s="9" t="inlineStr">
        <is>
          <t>Total Hours</t>
        </is>
      </c>
      <c r="J4" s="9" t="inlineStr">
        <is>
          <t>Notes</t>
        </is>
      </c>
    </row>
    <row r="5">
      <c r="B5" s="20" t="inlineStr">
        <is>
          <t>EC1</t>
        </is>
      </c>
      <c r="C5" s="6" t="inlineStr">
        <is>
          <t>Example entry — replace or delete</t>
        </is>
      </c>
      <c r="D5" s="21" t="n">
        <v>46154</v>
      </c>
      <c r="E5" s="20" t="n">
        <v>20</v>
      </c>
      <c r="F5" s="20" t="inlineStr">
        <is>
          <t>Trainer name</t>
        </is>
      </c>
      <c r="G5" s="20" t="n">
        <v>5264</v>
      </c>
      <c r="H5" s="20" t="n">
        <v>40</v>
      </c>
      <c r="I5" s="20" t="n">
        <v>40</v>
      </c>
      <c r="J5" s="20" t="inlineStr"/>
      <c r="L5" s="22" t="inlineStr">
        <is>
          <t>◄ EXAMPLE — replace with your data or delete this row</t>
        </is>
      </c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>
      <c r="B17" s="11" t="inlineStr"/>
      <c r="C17" s="5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</row>
    <row r="18">
      <c r="B18" s="23" t="inlineStr"/>
      <c r="C18" s="15" t="inlineStr">
        <is>
          <t>Total</t>
        </is>
      </c>
      <c r="D18" s="23" t="inlineStr"/>
      <c r="E18" s="16">
        <f>SUM(E5:E17)</f>
        <v>20</v>
      </c>
      <c r="F18" s="23" t="inlineStr"/>
      <c r="G18" s="23" t="inlineStr"/>
      <c r="H18" s="23" t="inlineStr"/>
      <c r="I18" s="16">
        <f>SUM(I5:I17)</f>
        <v>40</v>
      </c>
      <c r="J18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10" max="10"/>
  </cols>
  <sheetData>
    <row r="1">
      <c r="B1" s="7" t="inlineStr">
        <is>
          <t>Higher Nitec (CET)</t>
        </is>
      </c>
    </row>
    <row r="3">
      <c r="B3" s="18" t="inlineStr"/>
      <c r="C3" s="19" t="inlineStr">
        <is>
          <t>Example Higher Nitec course</t>
        </is>
      </c>
      <c r="D3" s="18" t="inlineStr"/>
      <c r="E3" s="18" t="inlineStr"/>
      <c r="F3" s="18" t="inlineStr"/>
      <c r="G3" s="18" t="inlineStr"/>
      <c r="H3" s="18" t="inlineStr"/>
    </row>
    <row r="4">
      <c r="B4" s="9" t="inlineStr">
        <is>
          <t>Cluster</t>
        </is>
      </c>
      <c r="C4" s="9" t="inlineStr">
        <is>
          <t>Higher Nitec (CET) Module</t>
        </is>
      </c>
      <c r="D4" s="9" t="inlineStr">
        <is>
          <t>Date</t>
        </is>
      </c>
      <c r="E4" s="9" t="inlineStr">
        <is>
          <t>Trainer</t>
        </is>
      </c>
      <c r="F4" s="9" t="inlineStr">
        <is>
          <t>Participants</t>
        </is>
      </c>
      <c r="G4" s="9" t="inlineStr">
        <is>
          <t>Hours</t>
        </is>
      </c>
      <c r="H4" s="9" t="inlineStr">
        <is>
          <t>Total Hours</t>
        </is>
      </c>
    </row>
    <row r="5">
      <c r="B5" s="20" t="inlineStr">
        <is>
          <t>EC1</t>
        </is>
      </c>
      <c r="C5" s="6" t="inlineStr">
        <is>
          <t>Example entry — replace or delete</t>
        </is>
      </c>
      <c r="D5" s="21" t="n">
        <v>46167</v>
      </c>
      <c r="E5" s="20" t="inlineStr">
        <is>
          <t>Trainer name</t>
        </is>
      </c>
      <c r="F5" s="20" t="n">
        <v>20</v>
      </c>
      <c r="G5" s="20" t="n">
        <v>60</v>
      </c>
      <c r="H5" s="20" t="n">
        <v>60</v>
      </c>
      <c r="J5" s="22" t="inlineStr">
        <is>
          <t>◄ EXAMPLE — replace with your data or delete this row</t>
        </is>
      </c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</row>
    <row r="17">
      <c r="B17" s="11" t="inlineStr"/>
      <c r="C17" s="5" t="inlineStr"/>
      <c r="D17" s="11" t="inlineStr"/>
      <c r="E17" s="11" t="inlineStr"/>
      <c r="F17" s="11" t="inlineStr"/>
      <c r="G17" s="11" t="inlineStr"/>
      <c r="H17" s="11" t="inlineStr"/>
    </row>
    <row r="18">
      <c r="B18" s="23" t="inlineStr"/>
      <c r="C18" s="15" t="inlineStr">
        <is>
          <t>Total</t>
        </is>
      </c>
      <c r="D18" s="23" t="inlineStr"/>
      <c r="E18" s="23" t="inlineStr"/>
      <c r="F18" s="16">
        <f>SUM(F5:F17)</f>
        <v>20</v>
      </c>
      <c r="G18" s="23" t="inlineStr"/>
      <c r="H18" s="16">
        <f>SUM(H5:H17)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2" customWidth="1" min="11" max="11"/>
  </cols>
  <sheetData>
    <row r="1">
      <c r="B1" s="7" t="inlineStr">
        <is>
          <t>SCTP — Skills-based Cert Training Prog</t>
        </is>
      </c>
    </row>
    <row r="3">
      <c r="B3" s="18" t="inlineStr"/>
      <c r="C3" s="19" t="inlineStr">
        <is>
          <t>Example SCTP course</t>
        </is>
      </c>
      <c r="D3" s="18" t="inlineStr"/>
      <c r="E3" s="18" t="inlineStr"/>
      <c r="F3" s="18" t="inlineStr"/>
      <c r="G3" s="18" t="inlineStr"/>
      <c r="H3" s="18" t="inlineStr"/>
      <c r="I3" s="18" t="inlineStr"/>
    </row>
    <row r="4">
      <c r="B4" s="9" t="inlineStr">
        <is>
          <t>Cluster</t>
        </is>
      </c>
      <c r="C4" s="9" t="inlineStr">
        <is>
          <t>SCTP Module</t>
        </is>
      </c>
      <c r="D4" s="9" t="inlineStr">
        <is>
          <t>Date</t>
        </is>
      </c>
      <c r="E4" s="9" t="inlineStr">
        <is>
          <t>Participants</t>
        </is>
      </c>
      <c r="F4" s="9" t="inlineStr">
        <is>
          <t>Trainer</t>
        </is>
      </c>
      <c r="G4" s="9" t="inlineStr">
        <is>
          <t>Hours</t>
        </is>
      </c>
      <c r="H4" s="9" t="inlineStr">
        <is>
          <t>Total Hours</t>
        </is>
      </c>
      <c r="I4" s="9" t="inlineStr">
        <is>
          <t>Notes</t>
        </is>
      </c>
    </row>
    <row r="5">
      <c r="B5" s="20" t="inlineStr">
        <is>
          <t>ICT1</t>
        </is>
      </c>
      <c r="C5" s="6" t="inlineStr">
        <is>
          <t>Example entry — replace or delete</t>
        </is>
      </c>
      <c r="D5" s="21" t="n">
        <v>46152</v>
      </c>
      <c r="E5" s="20" t="n">
        <v>15</v>
      </c>
      <c r="F5" s="20" t="inlineStr">
        <is>
          <t>Trainer name</t>
        </is>
      </c>
      <c r="G5" s="20" t="n">
        <v>24</v>
      </c>
      <c r="H5" s="20" t="n">
        <v>24</v>
      </c>
      <c r="I5" s="20" t="inlineStr"/>
      <c r="K5" s="22" t="inlineStr">
        <is>
          <t>◄ EXAMPLE — replace with your data or delete this row</t>
        </is>
      </c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  <c r="I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  <c r="I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  <c r="I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  <c r="I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  <c r="I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  <c r="I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B17" s="11" t="inlineStr"/>
      <c r="C17" s="5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B18" s="23" t="inlineStr"/>
      <c r="C18" s="15" t="inlineStr">
        <is>
          <t>Total</t>
        </is>
      </c>
      <c r="D18" s="23" t="inlineStr"/>
      <c r="E18" s="24" t="n">
        <v>20</v>
      </c>
      <c r="F18" s="23" t="inlineStr"/>
      <c r="G18" s="23" t="inlineStr"/>
      <c r="H18" s="23" t="inlineStr"/>
      <c r="I18" s="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10" max="10"/>
  </cols>
  <sheetData>
    <row r="1">
      <c r="B1" s="7" t="inlineStr">
        <is>
          <t>CoC — Certificate of Competency</t>
        </is>
      </c>
    </row>
    <row r="3">
      <c r="B3" s="9" t="inlineStr">
        <is>
          <t>Cluster</t>
        </is>
      </c>
      <c r="C3" s="9" t="inlineStr">
        <is>
          <t>CoC</t>
        </is>
      </c>
      <c r="D3" s="9" t="inlineStr">
        <is>
          <t>Date</t>
        </is>
      </c>
      <c r="E3" s="9" t="inlineStr">
        <is>
          <t>Trainer</t>
        </is>
      </c>
      <c r="F3" s="9" t="inlineStr">
        <is>
          <t>Participants</t>
        </is>
      </c>
      <c r="G3" s="9" t="inlineStr">
        <is>
          <t>Hours</t>
        </is>
      </c>
      <c r="H3" s="9" t="inlineStr">
        <is>
          <t>Total Hours</t>
        </is>
      </c>
    </row>
    <row r="4">
      <c r="B4" s="20" t="inlineStr">
        <is>
          <t>EC1</t>
        </is>
      </c>
      <c r="C4" s="6" t="inlineStr">
        <is>
          <t>Example entry — replace or delete</t>
        </is>
      </c>
      <c r="D4" s="21" t="n">
        <v>46223</v>
      </c>
      <c r="E4" s="20" t="inlineStr">
        <is>
          <t>Trainer name</t>
        </is>
      </c>
      <c r="F4" s="20" t="n">
        <v>12</v>
      </c>
      <c r="G4" s="20" t="n">
        <v>16</v>
      </c>
      <c r="H4" s="20" t="n">
        <v>16</v>
      </c>
      <c r="J4" s="22" t="inlineStr">
        <is>
          <t>◄ EXAMPLE — replace with your data or delete this row</t>
        </is>
      </c>
    </row>
    <row r="5">
      <c r="B5" s="11" t="inlineStr"/>
      <c r="C5" s="5" t="inlineStr"/>
      <c r="D5" s="11" t="inlineStr"/>
      <c r="E5" s="11" t="inlineStr"/>
      <c r="F5" s="11" t="inlineStr"/>
      <c r="G5" s="11" t="inlineStr"/>
      <c r="H5" s="11" t="inlineStr"/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</row>
    <row r="17">
      <c r="B17" s="23" t="inlineStr"/>
      <c r="C17" s="15" t="inlineStr">
        <is>
          <t>Total</t>
        </is>
      </c>
      <c r="D17" s="23" t="inlineStr"/>
      <c r="E17" s="23" t="inlineStr"/>
      <c r="F17" s="16">
        <f>SUM(F4:F16)</f>
        <v>12</v>
      </c>
      <c r="G17" s="23" t="inlineStr"/>
      <c r="H17" s="16">
        <f>SUM(H4:H16)</f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2" customWidth="1" min="12" max="12"/>
  </cols>
  <sheetData>
    <row r="1">
      <c r="B1" s="7" t="inlineStr">
        <is>
          <t>Short Courses</t>
        </is>
      </c>
    </row>
    <row r="3">
      <c r="B3" s="9" t="inlineStr">
        <is>
          <t>Cluster</t>
        </is>
      </c>
      <c r="C3" s="9" t="inlineStr">
        <is>
          <t>Short Course</t>
        </is>
      </c>
      <c r="D3" s="9" t="inlineStr">
        <is>
          <t>Start Date</t>
        </is>
      </c>
      <c r="E3" s="9" t="inlineStr">
        <is>
          <t>End Date</t>
        </is>
      </c>
      <c r="F3" s="9" t="inlineStr">
        <is>
          <t>Trainer</t>
        </is>
      </c>
      <c r="G3" s="9" t="inlineStr">
        <is>
          <t>Participants</t>
        </is>
      </c>
      <c r="H3" s="9" t="inlineStr">
        <is>
          <t>Hours</t>
        </is>
      </c>
      <c r="I3" s="9" t="inlineStr">
        <is>
          <t>Total Hours</t>
        </is>
      </c>
      <c r="J3" s="9" t="inlineStr">
        <is>
          <t>Notes</t>
        </is>
      </c>
    </row>
    <row r="4">
      <c r="B4" s="20" t="inlineStr">
        <is>
          <t>EC2</t>
        </is>
      </c>
      <c r="C4" s="6" t="inlineStr">
        <is>
          <t>Example entry — replace or delete</t>
        </is>
      </c>
      <c r="D4" s="21" t="n">
        <v>46147</v>
      </c>
      <c r="E4" s="21" t="n">
        <v>46149</v>
      </c>
      <c r="F4" s="20" t="inlineStr">
        <is>
          <t>Trainer name</t>
        </is>
      </c>
      <c r="G4" s="20" t="n">
        <v>25</v>
      </c>
      <c r="H4" s="20" t="n">
        <v>24</v>
      </c>
      <c r="I4" s="20" t="n">
        <v>24</v>
      </c>
      <c r="J4" s="20" t="inlineStr"/>
      <c r="L4" s="22" t="inlineStr">
        <is>
          <t>◄ EXAMPLE — replace with your data or delete this row</t>
        </is>
      </c>
    </row>
    <row r="5">
      <c r="B5" s="11" t="inlineStr"/>
      <c r="C5" s="5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>
      <c r="B17" s="23" t="inlineStr"/>
      <c r="C17" s="15" t="inlineStr">
        <is>
          <t>Total</t>
        </is>
      </c>
      <c r="D17" s="23" t="inlineStr"/>
      <c r="E17" s="23" t="inlineStr"/>
      <c r="F17" s="23" t="inlineStr"/>
      <c r="G17" s="16">
        <f>SUM(G4:G16)</f>
        <v>25</v>
      </c>
      <c r="H17" s="23" t="inlineStr"/>
      <c r="I17" s="16">
        <f>SUM(I4:I16)</f>
        <v>24</v>
      </c>
      <c r="J17" s="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10" max="10"/>
  </cols>
  <sheetData>
    <row r="1">
      <c r="B1" s="7" t="inlineStr">
        <is>
          <t>MLC — Mentoring Leadership Circle</t>
        </is>
      </c>
    </row>
    <row r="3">
      <c r="B3" s="9" t="inlineStr">
        <is>
          <t>Cluster</t>
        </is>
      </c>
      <c r="C3" s="9" t="inlineStr">
        <is>
          <t>MLC Course Name</t>
        </is>
      </c>
      <c r="D3" s="9" t="inlineStr">
        <is>
          <t>Participants</t>
        </is>
      </c>
      <c r="E3" s="9" t="inlineStr">
        <is>
          <t>Period</t>
        </is>
      </c>
      <c r="F3" s="9" t="inlineStr">
        <is>
          <t>Trainer</t>
        </is>
      </c>
      <c r="G3" s="9" t="inlineStr">
        <is>
          <t>Hours</t>
        </is>
      </c>
      <c r="H3" s="9" t="inlineStr">
        <is>
          <t>Total Hours</t>
        </is>
      </c>
    </row>
    <row r="4">
      <c r="B4" s="20" t="inlineStr">
        <is>
          <t>EC1</t>
        </is>
      </c>
      <c r="C4" s="6" t="inlineStr">
        <is>
          <t>Example entry — replace or delete</t>
        </is>
      </c>
      <c r="D4" s="20" t="n">
        <v>30</v>
      </c>
      <c r="E4" s="20" t="inlineStr">
        <is>
          <t>Apr26–Mar27</t>
        </is>
      </c>
      <c r="F4" s="20" t="inlineStr">
        <is>
          <t>Trainer name</t>
        </is>
      </c>
      <c r="G4" s="20" t="n">
        <v>8</v>
      </c>
      <c r="H4" s="20" t="n">
        <v>8</v>
      </c>
      <c r="J4" s="22" t="inlineStr">
        <is>
          <t>◄ EXAMPLE — replace with your data or delete this row</t>
        </is>
      </c>
    </row>
    <row r="5">
      <c r="B5" s="11" t="inlineStr"/>
      <c r="C5" s="5" t="inlineStr"/>
      <c r="D5" s="11" t="inlineStr"/>
      <c r="E5" s="11" t="inlineStr"/>
      <c r="F5" s="11" t="inlineStr"/>
      <c r="G5" s="11" t="inlineStr"/>
      <c r="H5" s="11" t="inlineStr"/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</row>
    <row r="17">
      <c r="B17" s="23" t="inlineStr"/>
      <c r="C17" s="15" t="inlineStr">
        <is>
          <t>Total</t>
        </is>
      </c>
      <c r="D17" s="16">
        <f>SUM(D4:D16)</f>
        <v>30</v>
      </c>
      <c r="E17" s="23" t="inlineStr"/>
      <c r="F17" s="23" t="inlineStr"/>
      <c r="G17" s="23" t="inlineStr"/>
      <c r="H17" s="16">
        <f>SUM(H4:H16)</f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2" customWidth="1" min="12" max="12"/>
  </cols>
  <sheetData>
    <row r="1">
      <c r="B1" s="7" t="inlineStr">
        <is>
          <t>APLM — Adjunct / Practice Lead Monitoring</t>
        </is>
      </c>
    </row>
    <row r="3">
      <c r="B3" s="18" t="inlineStr"/>
      <c r="C3" s="19" t="inlineStr">
        <is>
          <t>Example Adjunct programme</t>
        </is>
      </c>
      <c r="D3" s="18" t="inlineStr"/>
      <c r="E3" s="18" t="inlineStr"/>
      <c r="F3" s="18" t="inlineStr"/>
      <c r="G3" s="18" t="inlineStr"/>
      <c r="H3" s="18" t="inlineStr"/>
      <c r="I3" s="18" t="inlineStr"/>
      <c r="J3" s="18" t="inlineStr"/>
    </row>
    <row r="4">
      <c r="B4" s="9" t="inlineStr">
        <is>
          <t>Cluster</t>
        </is>
      </c>
      <c r="C4" s="9" t="inlineStr">
        <is>
          <t>APLM Course Name</t>
        </is>
      </c>
      <c r="D4" s="9" t="inlineStr">
        <is>
          <t>Start Date</t>
        </is>
      </c>
      <c r="E4" s="9" t="inlineStr">
        <is>
          <t>End Date</t>
        </is>
      </c>
      <c r="F4" s="9" t="inlineStr">
        <is>
          <t>Trainer</t>
        </is>
      </c>
      <c r="G4" s="9" t="inlineStr">
        <is>
          <t>Participants</t>
        </is>
      </c>
      <c r="H4" s="9" t="inlineStr">
        <is>
          <t>Hours</t>
        </is>
      </c>
      <c r="I4" s="9" t="inlineStr">
        <is>
          <t>Total Hours</t>
        </is>
      </c>
      <c r="J4" s="9" t="inlineStr">
        <is>
          <t>Notes</t>
        </is>
      </c>
    </row>
    <row r="5">
      <c r="B5" s="20" t="inlineStr">
        <is>
          <t>ICT1</t>
        </is>
      </c>
      <c r="C5" s="6" t="inlineStr">
        <is>
          <t>Example entry — replace or delete</t>
        </is>
      </c>
      <c r="D5" s="21" t="n">
        <v>46174</v>
      </c>
      <c r="E5" s="21" t="n">
        <v>46203</v>
      </c>
      <c r="F5" s="20" t="inlineStr">
        <is>
          <t>Trainer name</t>
        </is>
      </c>
      <c r="G5" s="20" t="n">
        <v>10</v>
      </c>
      <c r="H5" s="20" t="n">
        <v>40</v>
      </c>
      <c r="I5" s="20" t="n">
        <v>40</v>
      </c>
      <c r="J5" s="20" t="inlineStr"/>
      <c r="L5" s="22" t="inlineStr">
        <is>
          <t>◄ EXAMPLE — replace with your data or delete this row</t>
        </is>
      </c>
    </row>
    <row r="6">
      <c r="B6" s="11" t="inlineStr"/>
      <c r="C6" s="5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</row>
    <row r="7">
      <c r="B7" s="11" t="inlineStr"/>
      <c r="C7" s="5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</row>
    <row r="8">
      <c r="B8" s="11" t="inlineStr"/>
      <c r="C8" s="5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</row>
    <row r="9">
      <c r="B9" s="11" t="inlineStr"/>
      <c r="C9" s="5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</row>
    <row r="10">
      <c r="B10" s="11" t="inlineStr"/>
      <c r="C10" s="5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</row>
    <row r="11">
      <c r="B11" s="11" t="inlineStr"/>
      <c r="C11" s="5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</row>
    <row r="12">
      <c r="B12" s="11" t="inlineStr"/>
      <c r="C12" s="5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>
      <c r="B13" s="11" t="inlineStr"/>
      <c r="C13" s="5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>
      <c r="B14" s="11" t="inlineStr"/>
      <c r="C14" s="5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>
      <c r="B15" s="11" t="inlineStr"/>
      <c r="C15" s="5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</row>
    <row r="16">
      <c r="B16" s="11" t="inlineStr"/>
      <c r="C16" s="5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>
      <c r="B17" s="11" t="inlineStr"/>
      <c r="C17" s="5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</row>
    <row r="18">
      <c r="B18" s="23" t="inlineStr"/>
      <c r="C18" s="15" t="inlineStr">
        <is>
          <t>Total</t>
        </is>
      </c>
      <c r="D18" s="23" t="inlineStr"/>
      <c r="E18" s="23" t="inlineStr"/>
      <c r="F18" s="23" t="inlineStr"/>
      <c r="G18" s="16">
        <f>SUM(G5:G17)</f>
        <v>10</v>
      </c>
      <c r="H18" s="23" t="inlineStr"/>
      <c r="I18" s="16">
        <f>SUM(I5:I17)</f>
        <v>40</v>
      </c>
      <c r="J18" s="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30" customWidth="1" min="10" max="10"/>
    <col width="30" customWidth="1" min="11" max="11"/>
  </cols>
  <sheetData>
    <row r="1">
      <c r="B1" s="7" t="inlineStr">
        <is>
          <t>9 Course Tracking — Upcoming / Pipeline</t>
        </is>
      </c>
    </row>
    <row r="2">
      <c r="B2" s="9" t="inlineStr">
        <is>
          <t>S/N</t>
        </is>
      </c>
      <c r="C2" s="9" t="inlineStr">
        <is>
          <t>Course Title</t>
        </is>
      </c>
      <c r="E2" s="9" t="inlineStr">
        <is>
          <t>Type</t>
        </is>
      </c>
      <c r="I2" s="9" t="inlineStr">
        <is>
          <t>Target Month</t>
        </is>
      </c>
      <c r="J2" s="9" t="inlineStr">
        <is>
          <t>Remarks</t>
        </is>
      </c>
      <c r="K2" s="9" t="inlineStr">
        <is>
          <t>Latest Update</t>
        </is>
      </c>
    </row>
    <row r="3">
      <c r="B3" s="20" t="n">
        <v>1</v>
      </c>
      <c r="C3" s="6" t="inlineStr">
        <is>
          <t>Example upcoming course — delete me</t>
        </is>
      </c>
      <c r="E3" s="20" t="inlineStr">
        <is>
          <t>New</t>
        </is>
      </c>
      <c r="I3" s="21" t="n">
        <v>46310</v>
      </c>
      <c r="J3" s="6" t="inlineStr">
        <is>
          <t>In charge - Name</t>
        </is>
      </c>
      <c r="K3" s="6" t="inlineStr">
        <is>
          <t>Latest status note</t>
        </is>
      </c>
      <c r="M3" s="22" t="inlineStr">
        <is>
          <t>◄ EXAMPLE — replace or delete</t>
        </is>
      </c>
    </row>
    <row r="4">
      <c r="B4" s="11" t="inlineStr"/>
      <c r="C4" s="5" t="inlineStr"/>
      <c r="E4" s="11" t="inlineStr"/>
      <c r="I4" s="11" t="inlineStr"/>
      <c r="J4" s="5" t="inlineStr"/>
      <c r="K4" s="5" t="inlineStr"/>
    </row>
    <row r="5">
      <c r="B5" s="11" t="inlineStr"/>
      <c r="C5" s="5" t="inlineStr"/>
      <c r="E5" s="11" t="inlineStr"/>
      <c r="I5" s="11" t="inlineStr"/>
      <c r="J5" s="5" t="inlineStr"/>
      <c r="K5" s="5" t="inlineStr"/>
    </row>
    <row r="6">
      <c r="B6" s="11" t="inlineStr"/>
      <c r="C6" s="5" t="inlineStr"/>
      <c r="E6" s="11" t="inlineStr"/>
      <c r="I6" s="11" t="inlineStr"/>
      <c r="J6" s="5" t="inlineStr"/>
      <c r="K6" s="5" t="inlineStr"/>
    </row>
    <row r="7">
      <c r="B7" s="11" t="inlineStr"/>
      <c r="C7" s="5" t="inlineStr"/>
      <c r="E7" s="11" t="inlineStr"/>
      <c r="I7" s="11" t="inlineStr"/>
      <c r="J7" s="5" t="inlineStr"/>
      <c r="K7" s="5" t="inlineStr"/>
    </row>
    <row r="8">
      <c r="B8" s="11" t="inlineStr"/>
      <c r="C8" s="5" t="inlineStr"/>
      <c r="E8" s="11" t="inlineStr"/>
      <c r="I8" s="11" t="inlineStr"/>
      <c r="J8" s="5" t="inlineStr"/>
      <c r="K8" s="5" t="inlineStr"/>
    </row>
    <row r="9">
      <c r="B9" s="11" t="inlineStr"/>
      <c r="C9" s="5" t="inlineStr"/>
      <c r="E9" s="11" t="inlineStr"/>
      <c r="I9" s="11" t="inlineStr"/>
      <c r="J9" s="5" t="inlineStr"/>
      <c r="K9" s="5" t="inlineStr"/>
    </row>
    <row r="10">
      <c r="B10" s="11" t="inlineStr"/>
      <c r="C10" s="5" t="inlineStr"/>
      <c r="E10" s="11" t="inlineStr"/>
      <c r="I10" s="11" t="inlineStr"/>
      <c r="J10" s="5" t="inlineStr"/>
      <c r="K10" s="5" t="inlineStr"/>
    </row>
    <row r="11">
      <c r="B11" s="11" t="inlineStr"/>
      <c r="C11" s="5" t="inlineStr"/>
      <c r="E11" s="11" t="inlineStr"/>
      <c r="I11" s="11" t="inlineStr"/>
      <c r="J11" s="5" t="inlineStr"/>
      <c r="K11" s="5" t="inlineStr"/>
    </row>
    <row r="12">
      <c r="B12" s="11" t="inlineStr"/>
      <c r="C12" s="5" t="inlineStr"/>
      <c r="E12" s="11" t="inlineStr"/>
      <c r="I12" s="11" t="inlineStr"/>
      <c r="J12" s="5" t="inlineStr"/>
      <c r="K12" s="5" t="inlineStr"/>
    </row>
    <row r="13">
      <c r="B13" s="11" t="inlineStr"/>
      <c r="C13" s="5" t="inlineStr"/>
      <c r="E13" s="11" t="inlineStr"/>
      <c r="I13" s="11" t="inlineStr"/>
      <c r="J13" s="5" t="inlineStr"/>
      <c r="K13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</cols>
  <sheetData>
    <row r="1">
      <c r="B1" s="7" t="inlineStr">
        <is>
          <t>CoC Owners — ownership register (feeds Offerings tab)</t>
        </is>
      </c>
    </row>
    <row r="2">
      <c r="B2" s="9" t="inlineStr">
        <is>
          <t>Cluster</t>
        </is>
      </c>
      <c r="C2" s="9" t="inlineStr">
        <is>
          <t>CoC Title</t>
        </is>
      </c>
      <c r="D2" s="9" t="inlineStr">
        <is>
          <t>AD Owner</t>
        </is>
      </c>
      <c r="E2" s="9" t="inlineStr">
        <is>
          <t>Manager Owner</t>
        </is>
      </c>
    </row>
    <row r="3">
      <c r="B3" s="20" t="inlineStr">
        <is>
          <t>EC1</t>
        </is>
      </c>
      <c r="C3" s="6" t="inlineStr">
        <is>
          <t>Example CoC title — delete me</t>
        </is>
      </c>
      <c r="D3" s="6" t="inlineStr">
        <is>
          <t>AD name</t>
        </is>
      </c>
      <c r="E3" s="6" t="inlineStr">
        <is>
          <t>Manager name</t>
        </is>
      </c>
      <c r="G3" s="22" t="inlineStr">
        <is>
          <t>◄ EXAMPLE — replace or delete</t>
        </is>
      </c>
    </row>
    <row r="4">
      <c r="B4" s="11" t="inlineStr"/>
      <c r="C4" s="5" t="inlineStr"/>
      <c r="D4" s="5" t="inlineStr"/>
      <c r="E4" s="5" t="inlineStr"/>
    </row>
    <row r="5">
      <c r="B5" s="11" t="inlineStr"/>
      <c r="C5" s="5" t="inlineStr"/>
      <c r="D5" s="5" t="inlineStr"/>
      <c r="E5" s="5" t="inlineStr"/>
    </row>
    <row r="6">
      <c r="B6" s="11" t="inlineStr"/>
      <c r="C6" s="5" t="inlineStr"/>
      <c r="D6" s="5" t="inlineStr"/>
      <c r="E6" s="5" t="inlineStr"/>
    </row>
    <row r="7">
      <c r="B7" s="11" t="inlineStr"/>
      <c r="C7" s="5" t="inlineStr"/>
      <c r="D7" s="5" t="inlineStr"/>
      <c r="E7" s="5" t="inlineStr"/>
    </row>
    <row r="8">
      <c r="B8" s="11" t="inlineStr"/>
      <c r="C8" s="5" t="inlineStr"/>
      <c r="D8" s="5" t="inlineStr"/>
      <c r="E8" s="5" t="inlineStr"/>
    </row>
    <row r="9">
      <c r="B9" s="11" t="inlineStr"/>
      <c r="C9" s="5" t="inlineStr"/>
      <c r="D9" s="5" t="inlineStr"/>
      <c r="E9" s="5" t="inlineStr"/>
    </row>
    <row r="10">
      <c r="B10" s="11" t="inlineStr"/>
      <c r="C10" s="5" t="inlineStr"/>
      <c r="D10" s="5" t="inlineStr"/>
      <c r="E10" s="5" t="inlineStr"/>
    </row>
    <row r="11">
      <c r="B11" s="11" t="inlineStr"/>
      <c r="C11" s="5" t="inlineStr"/>
      <c r="D11" s="5" t="inlineStr"/>
      <c r="E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2026-08-20T04:59:01Z</dcterms:created>
  <dcterms:modified xsi:type="dcterms:W3CDTF">2026-08-20T04:59:01Z</dcterms:modified>
</cp:coreProperties>
</file>